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10" windowHeight="1860"/>
  </bookViews>
  <sheets>
    <sheet name="Payroll &amp; Salary Calculation" sheetId="1" r:id="rId1"/>
    <sheet name="Data Penjualan &amp; Perhitungan" sheetId="2" r:id="rId2"/>
  </sheets>
  <externalReferences>
    <externalReference r:id="rId3"/>
    <externalReference r:id="rId4"/>
    <externalReference r:id="rId5"/>
  </externalReferences>
  <definedNames>
    <definedName name="BISNIS">'[1]Studi Kasus 2 Jumat Soal 2'!$G$23:$I$25</definedName>
    <definedName name="_gol4">'[3]Studi kasus 2 1 jumat'!$Q$42:$R$46</definedName>
    <definedName name="NATA">[2]Sheet14!$N$9:$P$14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<sst xmlns="http://schemas.openxmlformats.org/spreadsheetml/2006/main" count="85" uniqueCount="70">
  <si>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PT. KARYA KITA</t>
  </si>
  <si>
    <t>DAFTAR GAJI PEGAWAI PERIODE JANUARI 2009</t>
  </si>
  <si>
    <t>NO</t>
  </si>
  <si>
    <t>NAMA PEGAWAI</t>
  </si>
  <si>
    <t>GAJI POKOK</t>
  </si>
  <si>
    <t>TUNJANGAN</t>
  </si>
  <si>
    <t>PPH</t>
  </si>
  <si>
    <t>GAJI BERSIH</t>
  </si>
  <si>
    <t>Ruslani</t>
  </si>
  <si>
    <t>Rahmawati</t>
  </si>
  <si>
    <t>Santoso</t>
  </si>
  <si>
    <t>Liliana</t>
  </si>
  <si>
    <t>Ahmad Karyadi</t>
  </si>
  <si>
    <t>Jumanto</t>
  </si>
  <si>
    <t>Hasan Albana</t>
  </si>
  <si>
    <t>Bian Albi</t>
  </si>
  <si>
    <t>Takriman</t>
  </si>
  <si>
    <t>Barhaza</t>
  </si>
  <si>
    <t>TOTAL GAJI</t>
  </si>
  <si>
    <t>GAJI TERTINGGI</t>
  </si>
  <si>
    <t>GAJI TERENDAH</t>
  </si>
  <si>
    <t>RATA-RATA GAJI</t>
  </si>
  <si>
    <t>1.</t>
  </si>
  <si>
    <t>Tunjangan diberikan sebesar 25% dari Gaji Pokok</t>
  </si>
  <si>
    <t>2.</t>
  </si>
  <si>
    <t>PPH dibebankan sebesar 5% dari Gaji Pokok</t>
  </si>
  <si>
    <t>3.</t>
  </si>
  <si>
    <t>Gaji Bersih adalah Gaji Pokok + Tunjangan - PPH</t>
  </si>
  <si>
    <t>4.</t>
  </si>
  <si>
    <t>Carilah Total Gaji, Gaji Tertinggi, Gaji Terendah, dan Rata-rata Gaji dengan fungsi statistik</t>
  </si>
  <si>
    <t>LATIHAN 2</t>
  </si>
  <si>
    <t>CV. MANDIRI KOMPUTER</t>
  </si>
  <si>
    <t>DAFTAR PENJULAN KOMPUTER PERIODE AGUSTUS 2022</t>
  </si>
  <si>
    <t>NO. URUT TRANSAKSI</t>
  </si>
  <si>
    <t>PAKET KOMPUTER</t>
  </si>
  <si>
    <t>TOKO</t>
  </si>
  <si>
    <t>OUTLET</t>
  </si>
  <si>
    <t>JML UNIT</t>
  </si>
  <si>
    <t>HARGA/ UNIT</t>
  </si>
  <si>
    <t>TOTAL HARGA</t>
  </si>
  <si>
    <t>DISCOUNT 15%</t>
  </si>
  <si>
    <t>TOTAL HARGA NETTO</t>
  </si>
  <si>
    <t>PERINGKAT PENJUALAN
(BERDASARKAN TOTAL HARGA NETTO)</t>
  </si>
  <si>
    <t>ZYREX INTEL ATOM, 80</t>
  </si>
  <si>
    <t>TOKO A</t>
  </si>
  <si>
    <t>JEMBER</t>
  </si>
  <si>
    <t>ION PENTIUM 4 2,8 GHz</t>
  </si>
  <si>
    <t>TOKO B</t>
  </si>
  <si>
    <t>JAKARTA</t>
  </si>
  <si>
    <t>ASUS P5GC-MX INT P4 3</t>
  </si>
  <si>
    <t>AMD ATHLON, GAMERS</t>
  </si>
  <si>
    <t>SEMPRON E1150, 160 GB</t>
  </si>
  <si>
    <t>CEL 3.0 GHz, ECS MB</t>
  </si>
  <si>
    <t>ASUS P5Q-VL, C2D,160GB</t>
  </si>
  <si>
    <t>TOKO C</t>
  </si>
  <si>
    <t>GYGABYTE, QC 2,250 GB</t>
  </si>
  <si>
    <t>ZYREX INTEL ATOM V3</t>
  </si>
  <si>
    <t>AMD PAKET WARNET</t>
  </si>
  <si>
    <t>TOTAL KESELURUHAN</t>
  </si>
  <si>
    <t>NILAI TERTINGGI</t>
  </si>
  <si>
    <t>NILAI TERENDAH</t>
  </si>
  <si>
    <t>NILAI RATA-RATA</t>
  </si>
  <si>
    <t>TOTAL HARGA NETTO UNTUK TOKO A</t>
  </si>
  <si>
    <t>TOTAL HARGA NETTO UNTUK TOKO B DENGAN OUTLET JEMBER</t>
  </si>
  <si>
    <t>JUMLAH TOKO A YANG BERTEMPAT DI OUTLET JAKARTA</t>
  </si>
  <si>
    <t>1.  Total Harga = Jumlah Unit*Harga Unit</t>
  </si>
  <si>
    <t>2.  Discount sebesar 15% dari Total Harga</t>
  </si>
  <si>
    <t>3.  Total Harga Netto = Total Harga - Discount</t>
  </si>
  <si>
    <t>4.  Carilah Total Keseluruhan, Nilai Tertinggi, Nilai Terendah, Nilai Rata-rata, dengan fungsi statistik</t>
  </si>
  <si>
    <t>Setelah selesai simpanlah dokumen dengan nama TABEL2_Nama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</si>
</sst>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[$Rp-421]* #,##0_);_([$Rp-421]* \(#,##0\);_([$Rp-421]* &quot;-&quot;??_);_(@_)"/>
    <numFmt numFmtId="181" formatCode="&quot;Rp&quot;#,##0"/>
    <numFmt numFmtId="182" formatCode="[$-421]dd\ mmmm\ yyyy;@"/>
    <numFmt numFmtId="183" formatCode="_-&quot;Rp&quot;* #,##0_-;\-&quot;Rp&quot;* #,##0_-;_-&quot;Rp&quot;* &quot;-&quot;_-;_-@_-"/>
    <numFmt numFmtId="184" formatCode="_(* #,##0_);_(* \(#,##0\);_(* &quot;-&quot;??_);_(@_)"/>
    <numFmt numFmtId="185" formatCode="_([$Rp-421]* #,##0_);_([$Rp-421]* \(#,##0\);_([$Rp-421]* &quot;-&quot;_);_(@_)"/>
  </numFmts>
  <fonts count="30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sz val="10"/>
      <name val="Arial"/>
      <charset val="134"/>
    </font>
    <font>
      <b/>
      <sz val="12"/>
      <name val="Lucida Handwriting"/>
      <charset val="134"/>
    </font>
    <font>
      <sz val="12"/>
      <name val="Lucida Handwriting"/>
      <charset val="134"/>
    </font>
    <font>
      <b/>
      <sz val="10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2"/>
      <name val="Arial"/>
      <charset val="134"/>
    </font>
    <font>
      <b/>
      <sz val="16"/>
      <name val="Calisto MT"/>
      <charset val="134"/>
    </font>
    <font>
      <b/>
      <sz val="10"/>
      <name val="Calisto 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gray06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49" applyFont="1" applyAlignment="1">
      <alignment vertical="center"/>
    </xf>
    <xf numFmtId="0" fontId="2" fillId="0" borderId="0" xfId="49" applyAlignment="1">
      <alignment horizontal="center" vertical="center" wrapText="1"/>
    </xf>
    <xf numFmtId="0" fontId="2" fillId="0" borderId="0" xfId="49"/>
    <xf numFmtId="0" fontId="3" fillId="2" borderId="1" xfId="49" applyFont="1" applyFill="1" applyBorder="1" applyAlignment="1">
      <alignment horizontal="center" vertical="center" wrapText="1"/>
    </xf>
    <xf numFmtId="0" fontId="3" fillId="2" borderId="2" xfId="49" applyFont="1" applyFill="1" applyBorder="1" applyAlignment="1">
      <alignment horizontal="center" vertical="center" wrapText="1"/>
    </xf>
    <xf numFmtId="0" fontId="4" fillId="0" borderId="0" xfId="49" applyFont="1" applyAlignment="1">
      <alignment horizontal="center" vertical="center" wrapText="1"/>
    </xf>
    <xf numFmtId="0" fontId="2" fillId="0" borderId="0" xfId="49" applyAlignment="1">
      <alignment vertical="center"/>
    </xf>
    <xf numFmtId="180" fontId="2" fillId="0" borderId="0" xfId="49" applyNumberFormat="1" applyAlignment="1">
      <alignment vertical="center"/>
    </xf>
    <xf numFmtId="0" fontId="1" fillId="0" borderId="0" xfId="49" applyFont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2" borderId="3" xfId="49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 wrapText="1"/>
    </xf>
    <xf numFmtId="0" fontId="6" fillId="2" borderId="2" xfId="49" applyFont="1" applyFill="1" applyBorder="1" applyAlignment="1">
      <alignment horizontal="center" vertical="center" wrapText="1"/>
    </xf>
    <xf numFmtId="180" fontId="6" fillId="2" borderId="3" xfId="49" applyNumberFormat="1" applyFont="1" applyFill="1" applyBorder="1" applyAlignment="1">
      <alignment horizontal="center" vertical="center" wrapText="1"/>
    </xf>
    <xf numFmtId="0" fontId="7" fillId="0" borderId="4" xfId="49" applyFont="1" applyBorder="1" applyAlignment="1">
      <alignment horizontal="center" vertical="center"/>
    </xf>
    <xf numFmtId="0" fontId="7" fillId="0" borderId="5" xfId="49" applyFont="1" applyBorder="1" applyAlignment="1">
      <alignment horizontal="left" vertical="center"/>
    </xf>
    <xf numFmtId="0" fontId="7" fillId="0" borderId="6" xfId="49" applyFont="1" applyBorder="1" applyAlignment="1">
      <alignment horizontal="left" vertical="center"/>
    </xf>
    <xf numFmtId="0" fontId="7" fillId="0" borderId="6" xfId="49" applyFont="1" applyBorder="1" applyAlignment="1">
      <alignment horizontal="center" vertical="center"/>
    </xf>
    <xf numFmtId="180" fontId="7" fillId="0" borderId="4" xfId="49" applyNumberFormat="1" applyFont="1" applyBorder="1" applyAlignment="1">
      <alignment vertical="center"/>
    </xf>
    <xf numFmtId="0" fontId="7" fillId="0" borderId="7" xfId="49" applyFont="1" applyBorder="1" applyAlignment="1">
      <alignment horizontal="center" vertical="center"/>
    </xf>
    <xf numFmtId="0" fontId="7" fillId="0" borderId="8" xfId="49" applyFont="1" applyBorder="1" applyAlignment="1">
      <alignment horizontal="left" vertical="center"/>
    </xf>
    <xf numFmtId="0" fontId="7" fillId="0" borderId="9" xfId="49" applyFont="1" applyBorder="1" applyAlignment="1">
      <alignment horizontal="left" vertical="center"/>
    </xf>
    <xf numFmtId="0" fontId="7" fillId="0" borderId="9" xfId="49" applyFont="1" applyBorder="1" applyAlignment="1">
      <alignment horizontal="center" vertical="center"/>
    </xf>
    <xf numFmtId="180" fontId="7" fillId="0" borderId="7" xfId="49" applyNumberFormat="1" applyFont="1" applyBorder="1" applyAlignment="1">
      <alignment vertical="center"/>
    </xf>
    <xf numFmtId="0" fontId="6" fillId="3" borderId="10" xfId="49" applyFont="1" applyFill="1" applyBorder="1" applyAlignment="1">
      <alignment horizontal="left" vertical="center"/>
    </xf>
    <xf numFmtId="0" fontId="7" fillId="3" borderId="10" xfId="49" applyFont="1" applyFill="1" applyBorder="1" applyAlignment="1">
      <alignment vertical="center"/>
    </xf>
    <xf numFmtId="180" fontId="7" fillId="3" borderId="10" xfId="49" applyNumberFormat="1" applyFont="1" applyFill="1" applyBorder="1" applyAlignment="1">
      <alignment vertical="center"/>
    </xf>
    <xf numFmtId="0" fontId="2" fillId="0" borderId="0" xfId="49" applyFont="1" applyAlignment="1">
      <alignment vertical="center"/>
    </xf>
    <xf numFmtId="0" fontId="5" fillId="0" borderId="0" xfId="49" applyFont="1" applyAlignment="1">
      <alignment horizontal="center"/>
    </xf>
    <xf numFmtId="181" fontId="2" fillId="0" borderId="0" xfId="49" applyNumberFormat="1" applyAlignment="1">
      <alignment vertical="center"/>
    </xf>
    <xf numFmtId="182" fontId="2" fillId="0" borderId="0" xfId="49" applyNumberFormat="1" applyAlignment="1">
      <alignment vertical="center"/>
    </xf>
    <xf numFmtId="180" fontId="7" fillId="0" borderId="5" xfId="49" applyNumberFormat="1" applyFont="1" applyBorder="1" applyAlignment="1">
      <alignment vertical="center"/>
    </xf>
    <xf numFmtId="0" fontId="7" fillId="0" borderId="10" xfId="49" applyFont="1" applyBorder="1" applyAlignment="1">
      <alignment horizontal="center" vertical="center"/>
    </xf>
    <xf numFmtId="183" fontId="0" fillId="0" borderId="0" xfId="50" applyNumberFormat="1" applyFont="1" applyAlignment="1">
      <alignment vertical="center"/>
    </xf>
    <xf numFmtId="0" fontId="8" fillId="0" borderId="0" xfId="49" applyFont="1"/>
    <xf numFmtId="0" fontId="9" fillId="0" borderId="0" xfId="49" applyFont="1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184" fontId="0" fillId="0" borderId="0" xfId="50" applyNumberFormat="1" applyFont="1"/>
    <xf numFmtId="0" fontId="5" fillId="2" borderId="3" xfId="49" applyFont="1" applyFill="1" applyBorder="1" applyAlignment="1">
      <alignment horizontal="center" vertical="center"/>
    </xf>
    <xf numFmtId="184" fontId="5" fillId="2" borderId="3" xfId="50" applyNumberFormat="1" applyFont="1" applyFill="1" applyBorder="1" applyAlignment="1">
      <alignment horizontal="center" vertical="center"/>
    </xf>
    <xf numFmtId="0" fontId="2" fillId="0" borderId="11" xfId="49" applyBorder="1" applyAlignment="1">
      <alignment horizontal="center" vertical="center"/>
    </xf>
    <xf numFmtId="0" fontId="2" fillId="0" borderId="11" xfId="49" applyBorder="1" applyAlignment="1">
      <alignment vertical="center"/>
    </xf>
    <xf numFmtId="185" fontId="2" fillId="0" borderId="11" xfId="49" applyNumberFormat="1" applyBorder="1" applyAlignment="1">
      <alignment vertical="center"/>
    </xf>
    <xf numFmtId="180" fontId="2" fillId="0" borderId="11" xfId="50" applyNumberFormat="1" applyFont="1" applyBorder="1" applyAlignment="1">
      <alignment vertical="center"/>
    </xf>
    <xf numFmtId="180" fontId="2" fillId="0" borderId="11" xfId="49" applyNumberFormat="1" applyFont="1" applyBorder="1" applyAlignment="1">
      <alignment vertical="center"/>
    </xf>
    <xf numFmtId="180" fontId="2" fillId="0" borderId="3" xfId="49" applyNumberFormat="1" applyFont="1" applyBorder="1" applyAlignment="1">
      <alignment vertical="center"/>
    </xf>
    <xf numFmtId="0" fontId="2" fillId="0" borderId="12" xfId="49" applyBorder="1" applyAlignment="1">
      <alignment horizontal="center" vertical="center"/>
    </xf>
    <xf numFmtId="0" fontId="2" fillId="0" borderId="12" xfId="49" applyBorder="1" applyAlignment="1">
      <alignment vertical="center"/>
    </xf>
    <xf numFmtId="185" fontId="2" fillId="0" borderId="12" xfId="49" applyNumberFormat="1" applyBorder="1" applyAlignment="1">
      <alignment vertical="center"/>
    </xf>
    <xf numFmtId="0" fontId="2" fillId="0" borderId="13" xfId="49" applyBorder="1" applyAlignment="1">
      <alignment horizontal="center" vertical="center"/>
    </xf>
    <xf numFmtId="0" fontId="2" fillId="0" borderId="13" xfId="49" applyBorder="1" applyAlignment="1">
      <alignment vertical="center"/>
    </xf>
    <xf numFmtId="185" fontId="2" fillId="0" borderId="13" xfId="49" applyNumberFormat="1" applyBorder="1" applyAlignment="1">
      <alignment vertical="center"/>
    </xf>
    <xf numFmtId="0" fontId="5" fillId="0" borderId="3" xfId="49" applyFont="1" applyBorder="1" applyAlignment="1">
      <alignment horizontal="left" vertical="center"/>
    </xf>
    <xf numFmtId="180" fontId="2" fillId="0" borderId="3" xfId="49" applyNumberFormat="1" applyBorder="1" applyAlignment="1">
      <alignment horizontal="center" vertical="center"/>
    </xf>
    <xf numFmtId="0" fontId="2" fillId="0" borderId="0" xfId="49" applyAlignment="1">
      <alignment horizontal="center"/>
    </xf>
    <xf numFmtId="0" fontId="2" fillId="0" borderId="0" xfId="49" applyAlignment="1">
      <alignment horizontal="left"/>
    </xf>
    <xf numFmtId="0" fontId="2" fillId="0" borderId="0" xfId="49" applyAlignment="1" quotePrefix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Comma 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82550</xdr:colOff>
      <xdr:row>18</xdr:row>
      <xdr:rowOff>136525</xdr:rowOff>
    </xdr:from>
    <xdr:to>
      <xdr:col>1</xdr:col>
      <xdr:colOff>889564</xdr:colOff>
      <xdr:row>20</xdr:row>
      <xdr:rowOff>133460</xdr:rowOff>
    </xdr:to>
    <xdr:sp>
      <xdr:nvSpPr>
        <xdr:cNvPr id="2" name="AutoShape 2"/>
        <xdr:cNvSpPr>
          <a:spLocks noChangeArrowheads="1"/>
        </xdr:cNvSpPr>
      </xdr:nvSpPr>
      <xdr:spPr>
        <a:xfrm>
          <a:off x="82550" y="3336925"/>
          <a:ext cx="2235200" cy="365125"/>
        </a:xfrm>
        <a:prstGeom prst="flowChartMulti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KETENTUAN:</a:t>
          </a:r>
          <a:endParaRPr lang="en-US" altLang="en-US" sz="1000" b="1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2</xdr:row>
      <xdr:rowOff>152400</xdr:rowOff>
    </xdr:from>
    <xdr:to>
      <xdr:col>0</xdr:col>
      <xdr:colOff>711200</xdr:colOff>
      <xdr:row>6</xdr:row>
      <xdr:rowOff>41275</xdr:rowOff>
    </xdr:to>
    <xdr:pic>
      <xdr:nvPicPr>
        <xdr:cNvPr id="2" name="Picture 1" descr="AG00154_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" y="247650"/>
          <a:ext cx="698500" cy="73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24</xdr:row>
      <xdr:rowOff>112395</xdr:rowOff>
    </xdr:from>
    <xdr:to>
      <xdr:col>1</xdr:col>
      <xdr:colOff>426657</xdr:colOff>
      <xdr:row>26</xdr:row>
      <xdr:rowOff>98515</xdr:rowOff>
    </xdr:to>
    <xdr:sp>
      <xdr:nvSpPr>
        <xdr:cNvPr id="3" name="AutoShape 2"/>
        <xdr:cNvSpPr>
          <a:spLocks noChangeArrowheads="1"/>
        </xdr:cNvSpPr>
      </xdr:nvSpPr>
      <xdr:spPr>
        <a:xfrm>
          <a:off x="47625" y="4994910"/>
          <a:ext cx="1267460" cy="354330"/>
        </a:xfrm>
        <a:prstGeom prst="flowChartMulti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22860" rIns="27432" bIns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KETENTUAN:</a:t>
          </a:r>
          <a:endParaRPr lang="en-US" altLang="en-US" sz="1000" b="1" i="0" strike="noStrike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udi%20Kasus%202%20Juma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!To%20Husnan%20Nilai%20SMA1\Soal%20UAK%20Office2_iiq%20(TIF-A%20&amp;%20KAB-A)\Backup%20flashdisk%2010feb07\bank%20soal%20excel\excel%20iiq\IIQTIF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SIBOOK\Downloads\Excel%20Lanju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di Kasus 2 Jumat Soal 1"/>
      <sheetName val="Studi Kasus 2 Jumat Soal 2"/>
      <sheetName val="Studi Kasus 2 Jumat Soal 3.a"/>
      <sheetName val="Studi Kasus 2 Jumat Soal 4"/>
      <sheetName val="Soal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Perhat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 PIVOTABLE (2)"/>
      <sheetName val="Data PIVOTABLE"/>
      <sheetName val="Lat 7 kamis"/>
      <sheetName val="Lat 6 kamis"/>
      <sheetName val="Lat 5 kamis"/>
      <sheetName val="Lat 4 kamis"/>
      <sheetName val="Lat 3 kamis"/>
      <sheetName val="Lat 2 kamis"/>
      <sheetName val="Lat 1 kamis"/>
      <sheetName val="Studi Kasus 1 Jumat Soal6"/>
      <sheetName val="Studi Kasus 1 Jumat Soal5"/>
      <sheetName val="Studi Kasus 1 Jumat Soal4"/>
      <sheetName val="Studi Kasus 1 Jumat Soal3"/>
      <sheetName val="Studi Kasus 1 Jumat Soal2"/>
      <sheetName val="Studi Kasus 1 Jumat Soal1"/>
      <sheetName val="Studi Kasus 2 Jumat Soal 1"/>
      <sheetName val="Studi Kasus 2 Jumat Soal 2"/>
      <sheetName val="Studi Kasus 2 Jumat Soal 3.b"/>
      <sheetName val="Studi Kasus 2 Jumat Soal 4"/>
      <sheetName val="Studi kasus 2 1 jumat"/>
      <sheetName val="CHART"/>
      <sheetName val="SORT&amp;FILTER"/>
      <sheetName val="FILTER"/>
      <sheetName val="SHORT"/>
      <sheetName val="SHORT&amp;FILTER"/>
      <sheetName val="#Sheet8"/>
      <sheetName val="#Sheet12"/>
      <sheetName val="#Sheet11"/>
      <sheetName val="#Sheet3"/>
      <sheetName val="#Sheet9"/>
      <sheetName val="#Sheet7"/>
      <sheetName val="#VLOOKUP"/>
      <sheetName val="#Sheet13"/>
      <sheetName val="#12"/>
      <sheetName val="Sheet6#"/>
      <sheetName val="#diagram"/>
      <sheetName val="#Sheet10"/>
      <sheetName val="#HLOOKUP"/>
      <sheetName val="#VLOOKUP (2)"/>
      <sheetName val="DATE#"/>
      <sheetName val="Sheet5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90" zoomScaleNormal="90" workbookViewId="0">
      <selection activeCell="G12" sqref="G12"/>
    </sheetView>
  </sheetViews>
  <sheetFormatPr defaultColWidth="9" defaultRowHeight="12.5" outlineLevelCol="5"/>
  <cols>
    <col min="1" max="1" width="20.4545454545455" style="4" customWidth="1"/>
    <col min="2" max="2" width="21.1818181818182" style="4" customWidth="1"/>
    <col min="3" max="3" width="20.8181818181818" style="4" customWidth="1"/>
    <col min="4" max="4" width="13.1818181818182" style="4" customWidth="1"/>
    <col min="5" max="5" width="14.4545454545455" style="4" customWidth="1"/>
    <col min="6" max="6" width="15.8181818181818" style="4" customWidth="1"/>
    <col min="7" max="256" width="8.72727272727273" style="4"/>
    <col min="257" max="257" width="20.4545454545455" style="4" customWidth="1"/>
    <col min="258" max="258" width="21.1818181818182" style="4" customWidth="1"/>
    <col min="259" max="259" width="20.8181818181818" style="4" customWidth="1"/>
    <col min="260" max="260" width="13.1818181818182" style="4" customWidth="1"/>
    <col min="261" max="261" width="14.4545454545455" style="4" customWidth="1"/>
    <col min="262" max="262" width="15.8181818181818" style="4" customWidth="1"/>
    <col min="263" max="512" width="8.72727272727273" style="4"/>
    <col min="513" max="513" width="20.4545454545455" style="4" customWidth="1"/>
    <col min="514" max="514" width="21.1818181818182" style="4" customWidth="1"/>
    <col min="515" max="515" width="20.8181818181818" style="4" customWidth="1"/>
    <col min="516" max="516" width="13.1818181818182" style="4" customWidth="1"/>
    <col min="517" max="517" width="14.4545454545455" style="4" customWidth="1"/>
    <col min="518" max="518" width="15.8181818181818" style="4" customWidth="1"/>
    <col min="519" max="768" width="8.72727272727273" style="4"/>
    <col min="769" max="769" width="20.4545454545455" style="4" customWidth="1"/>
    <col min="770" max="770" width="21.1818181818182" style="4" customWidth="1"/>
    <col min="771" max="771" width="20.8181818181818" style="4" customWidth="1"/>
    <col min="772" max="772" width="13.1818181818182" style="4" customWidth="1"/>
    <col min="773" max="773" width="14.4545454545455" style="4" customWidth="1"/>
    <col min="774" max="774" width="15.8181818181818" style="4" customWidth="1"/>
    <col min="775" max="1024" width="8.72727272727273" style="4"/>
    <col min="1025" max="1025" width="20.4545454545455" style="4" customWidth="1"/>
    <col min="1026" max="1026" width="21.1818181818182" style="4" customWidth="1"/>
    <col min="1027" max="1027" width="20.8181818181818" style="4" customWidth="1"/>
    <col min="1028" max="1028" width="13.1818181818182" style="4" customWidth="1"/>
    <col min="1029" max="1029" width="14.4545454545455" style="4" customWidth="1"/>
    <col min="1030" max="1030" width="15.8181818181818" style="4" customWidth="1"/>
    <col min="1031" max="1280" width="8.72727272727273" style="4"/>
    <col min="1281" max="1281" width="20.4545454545455" style="4" customWidth="1"/>
    <col min="1282" max="1282" width="21.1818181818182" style="4" customWidth="1"/>
    <col min="1283" max="1283" width="20.8181818181818" style="4" customWidth="1"/>
    <col min="1284" max="1284" width="13.1818181818182" style="4" customWidth="1"/>
    <col min="1285" max="1285" width="14.4545454545455" style="4" customWidth="1"/>
    <col min="1286" max="1286" width="15.8181818181818" style="4" customWidth="1"/>
    <col min="1287" max="1536" width="8.72727272727273" style="4"/>
    <col min="1537" max="1537" width="20.4545454545455" style="4" customWidth="1"/>
    <col min="1538" max="1538" width="21.1818181818182" style="4" customWidth="1"/>
    <col min="1539" max="1539" width="20.8181818181818" style="4" customWidth="1"/>
    <col min="1540" max="1540" width="13.1818181818182" style="4" customWidth="1"/>
    <col min="1541" max="1541" width="14.4545454545455" style="4" customWidth="1"/>
    <col min="1542" max="1542" width="15.8181818181818" style="4" customWidth="1"/>
    <col min="1543" max="1792" width="8.72727272727273" style="4"/>
    <col min="1793" max="1793" width="20.4545454545455" style="4" customWidth="1"/>
    <col min="1794" max="1794" width="21.1818181818182" style="4" customWidth="1"/>
    <col min="1795" max="1795" width="20.8181818181818" style="4" customWidth="1"/>
    <col min="1796" max="1796" width="13.1818181818182" style="4" customWidth="1"/>
    <col min="1797" max="1797" width="14.4545454545455" style="4" customWidth="1"/>
    <col min="1798" max="1798" width="15.8181818181818" style="4" customWidth="1"/>
    <col min="1799" max="2048" width="8.72727272727273" style="4"/>
    <col min="2049" max="2049" width="20.4545454545455" style="4" customWidth="1"/>
    <col min="2050" max="2050" width="21.1818181818182" style="4" customWidth="1"/>
    <col min="2051" max="2051" width="20.8181818181818" style="4" customWidth="1"/>
    <col min="2052" max="2052" width="13.1818181818182" style="4" customWidth="1"/>
    <col min="2053" max="2053" width="14.4545454545455" style="4" customWidth="1"/>
    <col min="2054" max="2054" width="15.8181818181818" style="4" customWidth="1"/>
    <col min="2055" max="2304" width="8.72727272727273" style="4"/>
    <col min="2305" max="2305" width="20.4545454545455" style="4" customWidth="1"/>
    <col min="2306" max="2306" width="21.1818181818182" style="4" customWidth="1"/>
    <col min="2307" max="2307" width="20.8181818181818" style="4" customWidth="1"/>
    <col min="2308" max="2308" width="13.1818181818182" style="4" customWidth="1"/>
    <col min="2309" max="2309" width="14.4545454545455" style="4" customWidth="1"/>
    <col min="2310" max="2310" width="15.8181818181818" style="4" customWidth="1"/>
    <col min="2311" max="2560" width="8.72727272727273" style="4"/>
    <col min="2561" max="2561" width="20.4545454545455" style="4" customWidth="1"/>
    <col min="2562" max="2562" width="21.1818181818182" style="4" customWidth="1"/>
    <col min="2563" max="2563" width="20.8181818181818" style="4" customWidth="1"/>
    <col min="2564" max="2564" width="13.1818181818182" style="4" customWidth="1"/>
    <col min="2565" max="2565" width="14.4545454545455" style="4" customWidth="1"/>
    <col min="2566" max="2566" width="15.8181818181818" style="4" customWidth="1"/>
    <col min="2567" max="2816" width="8.72727272727273" style="4"/>
    <col min="2817" max="2817" width="20.4545454545455" style="4" customWidth="1"/>
    <col min="2818" max="2818" width="21.1818181818182" style="4" customWidth="1"/>
    <col min="2819" max="2819" width="20.8181818181818" style="4" customWidth="1"/>
    <col min="2820" max="2820" width="13.1818181818182" style="4" customWidth="1"/>
    <col min="2821" max="2821" width="14.4545454545455" style="4" customWidth="1"/>
    <col min="2822" max="2822" width="15.8181818181818" style="4" customWidth="1"/>
    <col min="2823" max="3072" width="8.72727272727273" style="4"/>
    <col min="3073" max="3073" width="20.4545454545455" style="4" customWidth="1"/>
    <col min="3074" max="3074" width="21.1818181818182" style="4" customWidth="1"/>
    <col min="3075" max="3075" width="20.8181818181818" style="4" customWidth="1"/>
    <col min="3076" max="3076" width="13.1818181818182" style="4" customWidth="1"/>
    <col min="3077" max="3077" width="14.4545454545455" style="4" customWidth="1"/>
    <col min="3078" max="3078" width="15.8181818181818" style="4" customWidth="1"/>
    <col min="3079" max="3328" width="8.72727272727273" style="4"/>
    <col min="3329" max="3329" width="20.4545454545455" style="4" customWidth="1"/>
    <col min="3330" max="3330" width="21.1818181818182" style="4" customWidth="1"/>
    <col min="3331" max="3331" width="20.8181818181818" style="4" customWidth="1"/>
    <col min="3332" max="3332" width="13.1818181818182" style="4" customWidth="1"/>
    <col min="3333" max="3333" width="14.4545454545455" style="4" customWidth="1"/>
    <col min="3334" max="3334" width="15.8181818181818" style="4" customWidth="1"/>
    <col min="3335" max="3584" width="8.72727272727273" style="4"/>
    <col min="3585" max="3585" width="20.4545454545455" style="4" customWidth="1"/>
    <col min="3586" max="3586" width="21.1818181818182" style="4" customWidth="1"/>
    <col min="3587" max="3587" width="20.8181818181818" style="4" customWidth="1"/>
    <col min="3588" max="3588" width="13.1818181818182" style="4" customWidth="1"/>
    <col min="3589" max="3589" width="14.4545454545455" style="4" customWidth="1"/>
    <col min="3590" max="3590" width="15.8181818181818" style="4" customWidth="1"/>
    <col min="3591" max="3840" width="8.72727272727273" style="4"/>
    <col min="3841" max="3841" width="20.4545454545455" style="4" customWidth="1"/>
    <col min="3842" max="3842" width="21.1818181818182" style="4" customWidth="1"/>
    <col min="3843" max="3843" width="20.8181818181818" style="4" customWidth="1"/>
    <col min="3844" max="3844" width="13.1818181818182" style="4" customWidth="1"/>
    <col min="3845" max="3845" width="14.4545454545455" style="4" customWidth="1"/>
    <col min="3846" max="3846" width="15.8181818181818" style="4" customWidth="1"/>
    <col min="3847" max="4096" width="8.72727272727273" style="4"/>
    <col min="4097" max="4097" width="20.4545454545455" style="4" customWidth="1"/>
    <col min="4098" max="4098" width="21.1818181818182" style="4" customWidth="1"/>
    <col min="4099" max="4099" width="20.8181818181818" style="4" customWidth="1"/>
    <col min="4100" max="4100" width="13.1818181818182" style="4" customWidth="1"/>
    <col min="4101" max="4101" width="14.4545454545455" style="4" customWidth="1"/>
    <col min="4102" max="4102" width="15.8181818181818" style="4" customWidth="1"/>
    <col min="4103" max="4352" width="8.72727272727273" style="4"/>
    <col min="4353" max="4353" width="20.4545454545455" style="4" customWidth="1"/>
    <col min="4354" max="4354" width="21.1818181818182" style="4" customWidth="1"/>
    <col min="4355" max="4355" width="20.8181818181818" style="4" customWidth="1"/>
    <col min="4356" max="4356" width="13.1818181818182" style="4" customWidth="1"/>
    <col min="4357" max="4357" width="14.4545454545455" style="4" customWidth="1"/>
    <col min="4358" max="4358" width="15.8181818181818" style="4" customWidth="1"/>
    <col min="4359" max="4608" width="8.72727272727273" style="4"/>
    <col min="4609" max="4609" width="20.4545454545455" style="4" customWidth="1"/>
    <col min="4610" max="4610" width="21.1818181818182" style="4" customWidth="1"/>
    <col min="4611" max="4611" width="20.8181818181818" style="4" customWidth="1"/>
    <col min="4612" max="4612" width="13.1818181818182" style="4" customWidth="1"/>
    <col min="4613" max="4613" width="14.4545454545455" style="4" customWidth="1"/>
    <col min="4614" max="4614" width="15.8181818181818" style="4" customWidth="1"/>
    <col min="4615" max="4864" width="8.72727272727273" style="4"/>
    <col min="4865" max="4865" width="20.4545454545455" style="4" customWidth="1"/>
    <col min="4866" max="4866" width="21.1818181818182" style="4" customWidth="1"/>
    <col min="4867" max="4867" width="20.8181818181818" style="4" customWidth="1"/>
    <col min="4868" max="4868" width="13.1818181818182" style="4" customWidth="1"/>
    <col min="4869" max="4869" width="14.4545454545455" style="4" customWidth="1"/>
    <col min="4870" max="4870" width="15.8181818181818" style="4" customWidth="1"/>
    <col min="4871" max="5120" width="8.72727272727273" style="4"/>
    <col min="5121" max="5121" width="20.4545454545455" style="4" customWidth="1"/>
    <col min="5122" max="5122" width="21.1818181818182" style="4" customWidth="1"/>
    <col min="5123" max="5123" width="20.8181818181818" style="4" customWidth="1"/>
    <col min="5124" max="5124" width="13.1818181818182" style="4" customWidth="1"/>
    <col min="5125" max="5125" width="14.4545454545455" style="4" customWidth="1"/>
    <col min="5126" max="5126" width="15.8181818181818" style="4" customWidth="1"/>
    <col min="5127" max="5376" width="8.72727272727273" style="4"/>
    <col min="5377" max="5377" width="20.4545454545455" style="4" customWidth="1"/>
    <col min="5378" max="5378" width="21.1818181818182" style="4" customWidth="1"/>
    <col min="5379" max="5379" width="20.8181818181818" style="4" customWidth="1"/>
    <col min="5380" max="5380" width="13.1818181818182" style="4" customWidth="1"/>
    <col min="5381" max="5381" width="14.4545454545455" style="4" customWidth="1"/>
    <col min="5382" max="5382" width="15.8181818181818" style="4" customWidth="1"/>
    <col min="5383" max="5632" width="8.72727272727273" style="4"/>
    <col min="5633" max="5633" width="20.4545454545455" style="4" customWidth="1"/>
    <col min="5634" max="5634" width="21.1818181818182" style="4" customWidth="1"/>
    <col min="5635" max="5635" width="20.8181818181818" style="4" customWidth="1"/>
    <col min="5636" max="5636" width="13.1818181818182" style="4" customWidth="1"/>
    <col min="5637" max="5637" width="14.4545454545455" style="4" customWidth="1"/>
    <col min="5638" max="5638" width="15.8181818181818" style="4" customWidth="1"/>
    <col min="5639" max="5888" width="8.72727272727273" style="4"/>
    <col min="5889" max="5889" width="20.4545454545455" style="4" customWidth="1"/>
    <col min="5890" max="5890" width="21.1818181818182" style="4" customWidth="1"/>
    <col min="5891" max="5891" width="20.8181818181818" style="4" customWidth="1"/>
    <col min="5892" max="5892" width="13.1818181818182" style="4" customWidth="1"/>
    <col min="5893" max="5893" width="14.4545454545455" style="4" customWidth="1"/>
    <col min="5894" max="5894" width="15.8181818181818" style="4" customWidth="1"/>
    <col min="5895" max="6144" width="8.72727272727273" style="4"/>
    <col min="6145" max="6145" width="20.4545454545455" style="4" customWidth="1"/>
    <col min="6146" max="6146" width="21.1818181818182" style="4" customWidth="1"/>
    <col min="6147" max="6147" width="20.8181818181818" style="4" customWidth="1"/>
    <col min="6148" max="6148" width="13.1818181818182" style="4" customWidth="1"/>
    <col min="6149" max="6149" width="14.4545454545455" style="4" customWidth="1"/>
    <col min="6150" max="6150" width="15.8181818181818" style="4" customWidth="1"/>
    <col min="6151" max="6400" width="8.72727272727273" style="4"/>
    <col min="6401" max="6401" width="20.4545454545455" style="4" customWidth="1"/>
    <col min="6402" max="6402" width="21.1818181818182" style="4" customWidth="1"/>
    <col min="6403" max="6403" width="20.8181818181818" style="4" customWidth="1"/>
    <col min="6404" max="6404" width="13.1818181818182" style="4" customWidth="1"/>
    <col min="6405" max="6405" width="14.4545454545455" style="4" customWidth="1"/>
    <col min="6406" max="6406" width="15.8181818181818" style="4" customWidth="1"/>
    <col min="6407" max="6656" width="8.72727272727273" style="4"/>
    <col min="6657" max="6657" width="20.4545454545455" style="4" customWidth="1"/>
    <col min="6658" max="6658" width="21.1818181818182" style="4" customWidth="1"/>
    <col min="6659" max="6659" width="20.8181818181818" style="4" customWidth="1"/>
    <col min="6660" max="6660" width="13.1818181818182" style="4" customWidth="1"/>
    <col min="6661" max="6661" width="14.4545454545455" style="4" customWidth="1"/>
    <col min="6662" max="6662" width="15.8181818181818" style="4" customWidth="1"/>
    <col min="6663" max="6912" width="8.72727272727273" style="4"/>
    <col min="6913" max="6913" width="20.4545454545455" style="4" customWidth="1"/>
    <col min="6914" max="6914" width="21.1818181818182" style="4" customWidth="1"/>
    <col min="6915" max="6915" width="20.8181818181818" style="4" customWidth="1"/>
    <col min="6916" max="6916" width="13.1818181818182" style="4" customWidth="1"/>
    <col min="6917" max="6917" width="14.4545454545455" style="4" customWidth="1"/>
    <col min="6918" max="6918" width="15.8181818181818" style="4" customWidth="1"/>
    <col min="6919" max="7168" width="8.72727272727273" style="4"/>
    <col min="7169" max="7169" width="20.4545454545455" style="4" customWidth="1"/>
    <col min="7170" max="7170" width="21.1818181818182" style="4" customWidth="1"/>
    <col min="7171" max="7171" width="20.8181818181818" style="4" customWidth="1"/>
    <col min="7172" max="7172" width="13.1818181818182" style="4" customWidth="1"/>
    <col min="7173" max="7173" width="14.4545454545455" style="4" customWidth="1"/>
    <col min="7174" max="7174" width="15.8181818181818" style="4" customWidth="1"/>
    <col min="7175" max="7424" width="8.72727272727273" style="4"/>
    <col min="7425" max="7425" width="20.4545454545455" style="4" customWidth="1"/>
    <col min="7426" max="7426" width="21.1818181818182" style="4" customWidth="1"/>
    <col min="7427" max="7427" width="20.8181818181818" style="4" customWidth="1"/>
    <col min="7428" max="7428" width="13.1818181818182" style="4" customWidth="1"/>
    <col min="7429" max="7429" width="14.4545454545455" style="4" customWidth="1"/>
    <col min="7430" max="7430" width="15.8181818181818" style="4" customWidth="1"/>
    <col min="7431" max="7680" width="8.72727272727273" style="4"/>
    <col min="7681" max="7681" width="20.4545454545455" style="4" customWidth="1"/>
    <col min="7682" max="7682" width="21.1818181818182" style="4" customWidth="1"/>
    <col min="7683" max="7683" width="20.8181818181818" style="4" customWidth="1"/>
    <col min="7684" max="7684" width="13.1818181818182" style="4" customWidth="1"/>
    <col min="7685" max="7685" width="14.4545454545455" style="4" customWidth="1"/>
    <col min="7686" max="7686" width="15.8181818181818" style="4" customWidth="1"/>
    <col min="7687" max="7936" width="8.72727272727273" style="4"/>
    <col min="7937" max="7937" width="20.4545454545455" style="4" customWidth="1"/>
    <col min="7938" max="7938" width="21.1818181818182" style="4" customWidth="1"/>
    <col min="7939" max="7939" width="20.8181818181818" style="4" customWidth="1"/>
    <col min="7940" max="7940" width="13.1818181818182" style="4" customWidth="1"/>
    <col min="7941" max="7941" width="14.4545454545455" style="4" customWidth="1"/>
    <col min="7942" max="7942" width="15.8181818181818" style="4" customWidth="1"/>
    <col min="7943" max="8192" width="8.72727272727273" style="4"/>
    <col min="8193" max="8193" width="20.4545454545455" style="4" customWidth="1"/>
    <col min="8194" max="8194" width="21.1818181818182" style="4" customWidth="1"/>
    <col min="8195" max="8195" width="20.8181818181818" style="4" customWidth="1"/>
    <col min="8196" max="8196" width="13.1818181818182" style="4" customWidth="1"/>
    <col min="8197" max="8197" width="14.4545454545455" style="4" customWidth="1"/>
    <col min="8198" max="8198" width="15.8181818181818" style="4" customWidth="1"/>
    <col min="8199" max="8448" width="8.72727272727273" style="4"/>
    <col min="8449" max="8449" width="20.4545454545455" style="4" customWidth="1"/>
    <col min="8450" max="8450" width="21.1818181818182" style="4" customWidth="1"/>
    <col min="8451" max="8451" width="20.8181818181818" style="4" customWidth="1"/>
    <col min="8452" max="8452" width="13.1818181818182" style="4" customWidth="1"/>
    <col min="8453" max="8453" width="14.4545454545455" style="4" customWidth="1"/>
    <col min="8454" max="8454" width="15.8181818181818" style="4" customWidth="1"/>
    <col min="8455" max="8704" width="8.72727272727273" style="4"/>
    <col min="8705" max="8705" width="20.4545454545455" style="4" customWidth="1"/>
    <col min="8706" max="8706" width="21.1818181818182" style="4" customWidth="1"/>
    <col min="8707" max="8707" width="20.8181818181818" style="4" customWidth="1"/>
    <col min="8708" max="8708" width="13.1818181818182" style="4" customWidth="1"/>
    <col min="8709" max="8709" width="14.4545454545455" style="4" customWidth="1"/>
    <col min="8710" max="8710" width="15.8181818181818" style="4" customWidth="1"/>
    <col min="8711" max="8960" width="8.72727272727273" style="4"/>
    <col min="8961" max="8961" width="20.4545454545455" style="4" customWidth="1"/>
    <col min="8962" max="8962" width="21.1818181818182" style="4" customWidth="1"/>
    <col min="8963" max="8963" width="20.8181818181818" style="4" customWidth="1"/>
    <col min="8964" max="8964" width="13.1818181818182" style="4" customWidth="1"/>
    <col min="8965" max="8965" width="14.4545454545455" style="4" customWidth="1"/>
    <col min="8966" max="8966" width="15.8181818181818" style="4" customWidth="1"/>
    <col min="8967" max="9216" width="8.72727272727273" style="4"/>
    <col min="9217" max="9217" width="20.4545454545455" style="4" customWidth="1"/>
    <col min="9218" max="9218" width="21.1818181818182" style="4" customWidth="1"/>
    <col min="9219" max="9219" width="20.8181818181818" style="4" customWidth="1"/>
    <col min="9220" max="9220" width="13.1818181818182" style="4" customWidth="1"/>
    <col min="9221" max="9221" width="14.4545454545455" style="4" customWidth="1"/>
    <col min="9222" max="9222" width="15.8181818181818" style="4" customWidth="1"/>
    <col min="9223" max="9472" width="8.72727272727273" style="4"/>
    <col min="9473" max="9473" width="20.4545454545455" style="4" customWidth="1"/>
    <col min="9474" max="9474" width="21.1818181818182" style="4" customWidth="1"/>
    <col min="9475" max="9475" width="20.8181818181818" style="4" customWidth="1"/>
    <col min="9476" max="9476" width="13.1818181818182" style="4" customWidth="1"/>
    <col min="9477" max="9477" width="14.4545454545455" style="4" customWidth="1"/>
    <col min="9478" max="9478" width="15.8181818181818" style="4" customWidth="1"/>
    <col min="9479" max="9728" width="8.72727272727273" style="4"/>
    <col min="9729" max="9729" width="20.4545454545455" style="4" customWidth="1"/>
    <col min="9730" max="9730" width="21.1818181818182" style="4" customWidth="1"/>
    <col min="9731" max="9731" width="20.8181818181818" style="4" customWidth="1"/>
    <col min="9732" max="9732" width="13.1818181818182" style="4" customWidth="1"/>
    <col min="9733" max="9733" width="14.4545454545455" style="4" customWidth="1"/>
    <col min="9734" max="9734" width="15.8181818181818" style="4" customWidth="1"/>
    <col min="9735" max="9984" width="8.72727272727273" style="4"/>
    <col min="9985" max="9985" width="20.4545454545455" style="4" customWidth="1"/>
    <col min="9986" max="9986" width="21.1818181818182" style="4" customWidth="1"/>
    <col min="9987" max="9987" width="20.8181818181818" style="4" customWidth="1"/>
    <col min="9988" max="9988" width="13.1818181818182" style="4" customWidth="1"/>
    <col min="9989" max="9989" width="14.4545454545455" style="4" customWidth="1"/>
    <col min="9990" max="9990" width="15.8181818181818" style="4" customWidth="1"/>
    <col min="9991" max="10240" width="8.72727272727273" style="4"/>
    <col min="10241" max="10241" width="20.4545454545455" style="4" customWidth="1"/>
    <col min="10242" max="10242" width="21.1818181818182" style="4" customWidth="1"/>
    <col min="10243" max="10243" width="20.8181818181818" style="4" customWidth="1"/>
    <col min="10244" max="10244" width="13.1818181818182" style="4" customWidth="1"/>
    <col min="10245" max="10245" width="14.4545454545455" style="4" customWidth="1"/>
    <col min="10246" max="10246" width="15.8181818181818" style="4" customWidth="1"/>
    <col min="10247" max="10496" width="8.72727272727273" style="4"/>
    <col min="10497" max="10497" width="20.4545454545455" style="4" customWidth="1"/>
    <col min="10498" max="10498" width="21.1818181818182" style="4" customWidth="1"/>
    <col min="10499" max="10499" width="20.8181818181818" style="4" customWidth="1"/>
    <col min="10500" max="10500" width="13.1818181818182" style="4" customWidth="1"/>
    <col min="10501" max="10501" width="14.4545454545455" style="4" customWidth="1"/>
    <col min="10502" max="10502" width="15.8181818181818" style="4" customWidth="1"/>
    <col min="10503" max="10752" width="8.72727272727273" style="4"/>
    <col min="10753" max="10753" width="20.4545454545455" style="4" customWidth="1"/>
    <col min="10754" max="10754" width="21.1818181818182" style="4" customWidth="1"/>
    <col min="10755" max="10755" width="20.8181818181818" style="4" customWidth="1"/>
    <col min="10756" max="10756" width="13.1818181818182" style="4" customWidth="1"/>
    <col min="10757" max="10757" width="14.4545454545455" style="4" customWidth="1"/>
    <col min="10758" max="10758" width="15.8181818181818" style="4" customWidth="1"/>
    <col min="10759" max="11008" width="8.72727272727273" style="4"/>
    <col min="11009" max="11009" width="20.4545454545455" style="4" customWidth="1"/>
    <col min="11010" max="11010" width="21.1818181818182" style="4" customWidth="1"/>
    <col min="11011" max="11011" width="20.8181818181818" style="4" customWidth="1"/>
    <col min="11012" max="11012" width="13.1818181818182" style="4" customWidth="1"/>
    <col min="11013" max="11013" width="14.4545454545455" style="4" customWidth="1"/>
    <col min="11014" max="11014" width="15.8181818181818" style="4" customWidth="1"/>
    <col min="11015" max="11264" width="8.72727272727273" style="4"/>
    <col min="11265" max="11265" width="20.4545454545455" style="4" customWidth="1"/>
    <col min="11266" max="11266" width="21.1818181818182" style="4" customWidth="1"/>
    <col min="11267" max="11267" width="20.8181818181818" style="4" customWidth="1"/>
    <col min="11268" max="11268" width="13.1818181818182" style="4" customWidth="1"/>
    <col min="11269" max="11269" width="14.4545454545455" style="4" customWidth="1"/>
    <col min="11270" max="11270" width="15.8181818181818" style="4" customWidth="1"/>
    <col min="11271" max="11520" width="8.72727272727273" style="4"/>
    <col min="11521" max="11521" width="20.4545454545455" style="4" customWidth="1"/>
    <col min="11522" max="11522" width="21.1818181818182" style="4" customWidth="1"/>
    <col min="11523" max="11523" width="20.8181818181818" style="4" customWidth="1"/>
    <col min="11524" max="11524" width="13.1818181818182" style="4" customWidth="1"/>
    <col min="11525" max="11525" width="14.4545454545455" style="4" customWidth="1"/>
    <col min="11526" max="11526" width="15.8181818181818" style="4" customWidth="1"/>
    <col min="11527" max="11776" width="8.72727272727273" style="4"/>
    <col min="11777" max="11777" width="20.4545454545455" style="4" customWidth="1"/>
    <col min="11778" max="11778" width="21.1818181818182" style="4" customWidth="1"/>
    <col min="11779" max="11779" width="20.8181818181818" style="4" customWidth="1"/>
    <col min="11780" max="11780" width="13.1818181818182" style="4" customWidth="1"/>
    <col min="11781" max="11781" width="14.4545454545455" style="4" customWidth="1"/>
    <col min="11782" max="11782" width="15.8181818181818" style="4" customWidth="1"/>
    <col min="11783" max="12032" width="8.72727272727273" style="4"/>
    <col min="12033" max="12033" width="20.4545454545455" style="4" customWidth="1"/>
    <col min="12034" max="12034" width="21.1818181818182" style="4" customWidth="1"/>
    <col min="12035" max="12035" width="20.8181818181818" style="4" customWidth="1"/>
    <col min="12036" max="12036" width="13.1818181818182" style="4" customWidth="1"/>
    <col min="12037" max="12037" width="14.4545454545455" style="4" customWidth="1"/>
    <col min="12038" max="12038" width="15.8181818181818" style="4" customWidth="1"/>
    <col min="12039" max="12288" width="8.72727272727273" style="4"/>
    <col min="12289" max="12289" width="20.4545454545455" style="4" customWidth="1"/>
    <col min="12290" max="12290" width="21.1818181818182" style="4" customWidth="1"/>
    <col min="12291" max="12291" width="20.8181818181818" style="4" customWidth="1"/>
    <col min="12292" max="12292" width="13.1818181818182" style="4" customWidth="1"/>
    <col min="12293" max="12293" width="14.4545454545455" style="4" customWidth="1"/>
    <col min="12294" max="12294" width="15.8181818181818" style="4" customWidth="1"/>
    <col min="12295" max="12544" width="8.72727272727273" style="4"/>
    <col min="12545" max="12545" width="20.4545454545455" style="4" customWidth="1"/>
    <col min="12546" max="12546" width="21.1818181818182" style="4" customWidth="1"/>
    <col min="12547" max="12547" width="20.8181818181818" style="4" customWidth="1"/>
    <col min="12548" max="12548" width="13.1818181818182" style="4" customWidth="1"/>
    <col min="12549" max="12549" width="14.4545454545455" style="4" customWidth="1"/>
    <col min="12550" max="12550" width="15.8181818181818" style="4" customWidth="1"/>
    <col min="12551" max="12800" width="8.72727272727273" style="4"/>
    <col min="12801" max="12801" width="20.4545454545455" style="4" customWidth="1"/>
    <col min="12802" max="12802" width="21.1818181818182" style="4" customWidth="1"/>
    <col min="12803" max="12803" width="20.8181818181818" style="4" customWidth="1"/>
    <col min="12804" max="12804" width="13.1818181818182" style="4" customWidth="1"/>
    <col min="12805" max="12805" width="14.4545454545455" style="4" customWidth="1"/>
    <col min="12806" max="12806" width="15.8181818181818" style="4" customWidth="1"/>
    <col min="12807" max="13056" width="8.72727272727273" style="4"/>
    <col min="13057" max="13057" width="20.4545454545455" style="4" customWidth="1"/>
    <col min="13058" max="13058" width="21.1818181818182" style="4" customWidth="1"/>
    <col min="13059" max="13059" width="20.8181818181818" style="4" customWidth="1"/>
    <col min="13060" max="13060" width="13.1818181818182" style="4" customWidth="1"/>
    <col min="13061" max="13061" width="14.4545454545455" style="4" customWidth="1"/>
    <col min="13062" max="13062" width="15.8181818181818" style="4" customWidth="1"/>
    <col min="13063" max="13312" width="8.72727272727273" style="4"/>
    <col min="13313" max="13313" width="20.4545454545455" style="4" customWidth="1"/>
    <col min="13314" max="13314" width="21.1818181818182" style="4" customWidth="1"/>
    <col min="13315" max="13315" width="20.8181818181818" style="4" customWidth="1"/>
    <col min="13316" max="13316" width="13.1818181818182" style="4" customWidth="1"/>
    <col min="13317" max="13317" width="14.4545454545455" style="4" customWidth="1"/>
    <col min="13318" max="13318" width="15.8181818181818" style="4" customWidth="1"/>
    <col min="13319" max="13568" width="8.72727272727273" style="4"/>
    <col min="13569" max="13569" width="20.4545454545455" style="4" customWidth="1"/>
    <col min="13570" max="13570" width="21.1818181818182" style="4" customWidth="1"/>
    <col min="13571" max="13571" width="20.8181818181818" style="4" customWidth="1"/>
    <col min="13572" max="13572" width="13.1818181818182" style="4" customWidth="1"/>
    <col min="13573" max="13573" width="14.4545454545455" style="4" customWidth="1"/>
    <col min="13574" max="13574" width="15.8181818181818" style="4" customWidth="1"/>
    <col min="13575" max="13824" width="8.72727272727273" style="4"/>
    <col min="13825" max="13825" width="20.4545454545455" style="4" customWidth="1"/>
    <col min="13826" max="13826" width="21.1818181818182" style="4" customWidth="1"/>
    <col min="13827" max="13827" width="20.8181818181818" style="4" customWidth="1"/>
    <col min="13828" max="13828" width="13.1818181818182" style="4" customWidth="1"/>
    <col min="13829" max="13829" width="14.4545454545455" style="4" customWidth="1"/>
    <col min="13830" max="13830" width="15.8181818181818" style="4" customWidth="1"/>
    <col min="13831" max="14080" width="8.72727272727273" style="4"/>
    <col min="14081" max="14081" width="20.4545454545455" style="4" customWidth="1"/>
    <col min="14082" max="14082" width="21.1818181818182" style="4" customWidth="1"/>
    <col min="14083" max="14083" width="20.8181818181818" style="4" customWidth="1"/>
    <col min="14084" max="14084" width="13.1818181818182" style="4" customWidth="1"/>
    <col min="14085" max="14085" width="14.4545454545455" style="4" customWidth="1"/>
    <col min="14086" max="14086" width="15.8181818181818" style="4" customWidth="1"/>
    <col min="14087" max="14336" width="8.72727272727273" style="4"/>
    <col min="14337" max="14337" width="20.4545454545455" style="4" customWidth="1"/>
    <col min="14338" max="14338" width="21.1818181818182" style="4" customWidth="1"/>
    <col min="14339" max="14339" width="20.8181818181818" style="4" customWidth="1"/>
    <col min="14340" max="14340" width="13.1818181818182" style="4" customWidth="1"/>
    <col min="14341" max="14341" width="14.4545454545455" style="4" customWidth="1"/>
    <col min="14342" max="14342" width="15.8181818181818" style="4" customWidth="1"/>
    <col min="14343" max="14592" width="8.72727272727273" style="4"/>
    <col min="14593" max="14593" width="20.4545454545455" style="4" customWidth="1"/>
    <col min="14594" max="14594" width="21.1818181818182" style="4" customWidth="1"/>
    <col min="14595" max="14595" width="20.8181818181818" style="4" customWidth="1"/>
    <col min="14596" max="14596" width="13.1818181818182" style="4" customWidth="1"/>
    <col min="14597" max="14597" width="14.4545454545455" style="4" customWidth="1"/>
    <col min="14598" max="14598" width="15.8181818181818" style="4" customWidth="1"/>
    <col min="14599" max="14848" width="8.72727272727273" style="4"/>
    <col min="14849" max="14849" width="20.4545454545455" style="4" customWidth="1"/>
    <col min="14850" max="14850" width="21.1818181818182" style="4" customWidth="1"/>
    <col min="14851" max="14851" width="20.8181818181818" style="4" customWidth="1"/>
    <col min="14852" max="14852" width="13.1818181818182" style="4" customWidth="1"/>
    <col min="14853" max="14853" width="14.4545454545455" style="4" customWidth="1"/>
    <col min="14854" max="14854" width="15.8181818181818" style="4" customWidth="1"/>
    <col min="14855" max="15104" width="8.72727272727273" style="4"/>
    <col min="15105" max="15105" width="20.4545454545455" style="4" customWidth="1"/>
    <col min="15106" max="15106" width="21.1818181818182" style="4" customWidth="1"/>
    <col min="15107" max="15107" width="20.8181818181818" style="4" customWidth="1"/>
    <col min="15108" max="15108" width="13.1818181818182" style="4" customWidth="1"/>
    <col min="15109" max="15109" width="14.4545454545455" style="4" customWidth="1"/>
    <col min="15110" max="15110" width="15.8181818181818" style="4" customWidth="1"/>
    <col min="15111" max="15360" width="8.72727272727273" style="4"/>
    <col min="15361" max="15361" width="20.4545454545455" style="4" customWidth="1"/>
    <col min="15362" max="15362" width="21.1818181818182" style="4" customWidth="1"/>
    <col min="15363" max="15363" width="20.8181818181818" style="4" customWidth="1"/>
    <col min="15364" max="15364" width="13.1818181818182" style="4" customWidth="1"/>
    <col min="15365" max="15365" width="14.4545454545455" style="4" customWidth="1"/>
    <col min="15366" max="15366" width="15.8181818181818" style="4" customWidth="1"/>
    <col min="15367" max="15616" width="8.72727272727273" style="4"/>
    <col min="15617" max="15617" width="20.4545454545455" style="4" customWidth="1"/>
    <col min="15618" max="15618" width="21.1818181818182" style="4" customWidth="1"/>
    <col min="15619" max="15619" width="20.8181818181818" style="4" customWidth="1"/>
    <col min="15620" max="15620" width="13.1818181818182" style="4" customWidth="1"/>
    <col min="15621" max="15621" width="14.4545454545455" style="4" customWidth="1"/>
    <col min="15622" max="15622" width="15.8181818181818" style="4" customWidth="1"/>
    <col min="15623" max="15872" width="8.72727272727273" style="4"/>
    <col min="15873" max="15873" width="20.4545454545455" style="4" customWidth="1"/>
    <col min="15874" max="15874" width="21.1818181818182" style="4" customWidth="1"/>
    <col min="15875" max="15875" width="20.8181818181818" style="4" customWidth="1"/>
    <col min="15876" max="15876" width="13.1818181818182" style="4" customWidth="1"/>
    <col min="15877" max="15877" width="14.4545454545455" style="4" customWidth="1"/>
    <col min="15878" max="15878" width="15.8181818181818" style="4" customWidth="1"/>
    <col min="15879" max="16128" width="8.72727272727273" style="4"/>
    <col min="16129" max="16129" width="20.4545454545455" style="4" customWidth="1"/>
    <col min="16130" max="16130" width="21.1818181818182" style="4" customWidth="1"/>
    <col min="16131" max="16131" width="20.8181818181818" style="4" customWidth="1"/>
    <col min="16132" max="16132" width="13.1818181818182" style="4" customWidth="1"/>
    <col min="16133" max="16133" width="14.4545454545455" style="4" customWidth="1"/>
    <col min="16134" max="16134" width="15.8181818181818" style="4" customWidth="1"/>
    <col min="16135" max="16384" width="8.72727272727273" style="4"/>
  </cols>
  <sheetData>
    <row r="1" s="4" customFormat="1" ht="20" spans="1:6">
      <c r="A1" s="36"/>
      <c r="B1" s="37" t="s">
        <v>0</v>
      </c>
      <c r="C1" s="37"/>
      <c r="D1" s="37"/>
      <c r="E1" s="37"/>
      <c r="F1" s="37"/>
    </row>
    <row r="2" s="4" customFormat="1" ht="15.5" spans="1:6">
      <c r="A2" s="36"/>
      <c r="B2" s="38" t="s">
        <v>1</v>
      </c>
      <c r="C2" s="38"/>
      <c r="D2" s="38"/>
      <c r="E2" s="38"/>
      <c r="F2" s="38"/>
    </row>
    <row r="3" s="4" customFormat="1" ht="15.25" spans="4:4">
      <c r="D3" s="39"/>
    </row>
    <row r="4" s="4" customFormat="1" ht="13.75" spans="1:6">
      <c r="A4" s="40" t="s">
        <v>2</v>
      </c>
      <c r="B4" s="40" t="s">
        <v>3</v>
      </c>
      <c r="C4" s="40" t="s">
        <v>4</v>
      </c>
      <c r="D4" s="41" t="s">
        <v>5</v>
      </c>
      <c r="E4" s="40" t="s">
        <v>6</v>
      </c>
      <c r="F4" s="40" t="s">
        <v>7</v>
      </c>
    </row>
    <row r="5" s="4" customFormat="1" ht="13.25" spans="1:6">
      <c r="A5" s="42">
        <v>1</v>
      </c>
      <c r="B5" s="43" t="s">
        <v>8</v>
      </c>
      <c r="C5" s="44">
        <v>2500000</v>
      </c>
      <c r="D5" s="45">
        <f t="shared" ref="D5:D14" si="0">C5*25%</f>
        <v>625000</v>
      </c>
      <c r="E5" s="46">
        <f t="shared" ref="E5:E14" si="1">C5*5%</f>
        <v>125000</v>
      </c>
      <c r="F5" s="47">
        <f>C5+D5-E5</f>
        <v>3000000</v>
      </c>
    </row>
    <row r="6" s="4" customFormat="1" ht="13.25" spans="1:6">
      <c r="A6" s="48">
        <v>2</v>
      </c>
      <c r="B6" s="49" t="s">
        <v>9</v>
      </c>
      <c r="C6" s="50">
        <v>2000000</v>
      </c>
      <c r="D6" s="45">
        <f t="shared" si="0"/>
        <v>500000</v>
      </c>
      <c r="E6" s="46">
        <f t="shared" si="1"/>
        <v>100000</v>
      </c>
      <c r="F6" s="47">
        <f t="shared" ref="F5:F14" si="2">C6+D6-E6</f>
        <v>2400000</v>
      </c>
    </row>
    <row r="7" s="4" customFormat="1" ht="13.25" spans="1:6">
      <c r="A7" s="42">
        <v>3</v>
      </c>
      <c r="B7" s="49" t="s">
        <v>10</v>
      </c>
      <c r="C7" s="50">
        <v>1800000</v>
      </c>
      <c r="D7" s="45">
        <f t="shared" si="0"/>
        <v>450000</v>
      </c>
      <c r="E7" s="46">
        <f t="shared" si="1"/>
        <v>90000</v>
      </c>
      <c r="F7" s="47">
        <f t="shared" si="2"/>
        <v>2160000</v>
      </c>
    </row>
    <row r="8" s="4" customFormat="1" ht="13.25" spans="1:6">
      <c r="A8" s="48">
        <v>4</v>
      </c>
      <c r="B8" s="49" t="s">
        <v>11</v>
      </c>
      <c r="C8" s="50">
        <v>1700000</v>
      </c>
      <c r="D8" s="45">
        <f t="shared" si="0"/>
        <v>425000</v>
      </c>
      <c r="E8" s="46">
        <f t="shared" si="1"/>
        <v>85000</v>
      </c>
      <c r="F8" s="47">
        <f t="shared" si="2"/>
        <v>2040000</v>
      </c>
    </row>
    <row r="9" s="4" customFormat="1" ht="13.25" spans="1:6">
      <c r="A9" s="42">
        <v>5</v>
      </c>
      <c r="B9" s="49" t="s">
        <v>12</v>
      </c>
      <c r="C9" s="50">
        <v>1500000</v>
      </c>
      <c r="D9" s="45">
        <f t="shared" si="0"/>
        <v>375000</v>
      </c>
      <c r="E9" s="46">
        <f t="shared" si="1"/>
        <v>75000</v>
      </c>
      <c r="F9" s="47">
        <f t="shared" si="2"/>
        <v>1800000</v>
      </c>
    </row>
    <row r="10" s="4" customFormat="1" ht="13.25" spans="1:6">
      <c r="A10" s="48">
        <v>6</v>
      </c>
      <c r="B10" s="49" t="s">
        <v>13</v>
      </c>
      <c r="C10" s="50">
        <v>1200000</v>
      </c>
      <c r="D10" s="45">
        <f t="shared" si="0"/>
        <v>300000</v>
      </c>
      <c r="E10" s="46">
        <f t="shared" si="1"/>
        <v>60000</v>
      </c>
      <c r="F10" s="47">
        <f t="shared" si="2"/>
        <v>1440000</v>
      </c>
    </row>
    <row r="11" s="4" customFormat="1" ht="13.25" spans="1:6">
      <c r="A11" s="42">
        <v>7</v>
      </c>
      <c r="B11" s="49" t="s">
        <v>14</v>
      </c>
      <c r="C11" s="50">
        <v>1000000</v>
      </c>
      <c r="D11" s="45">
        <f t="shared" si="0"/>
        <v>250000</v>
      </c>
      <c r="E11" s="46">
        <f t="shared" si="1"/>
        <v>50000</v>
      </c>
      <c r="F11" s="47">
        <f t="shared" si="2"/>
        <v>1200000</v>
      </c>
    </row>
    <row r="12" s="4" customFormat="1" ht="13.25" spans="1:6">
      <c r="A12" s="48">
        <v>8</v>
      </c>
      <c r="B12" s="49" t="s">
        <v>15</v>
      </c>
      <c r="C12" s="50">
        <v>950000</v>
      </c>
      <c r="D12" s="45">
        <f t="shared" si="0"/>
        <v>237500</v>
      </c>
      <c r="E12" s="46">
        <f t="shared" si="1"/>
        <v>47500</v>
      </c>
      <c r="F12" s="47">
        <f t="shared" si="2"/>
        <v>1140000</v>
      </c>
    </row>
    <row r="13" s="4" customFormat="1" ht="13.25" spans="1:6">
      <c r="A13" s="42">
        <v>9</v>
      </c>
      <c r="B13" s="49" t="s">
        <v>16</v>
      </c>
      <c r="C13" s="50">
        <v>900000</v>
      </c>
      <c r="D13" s="45">
        <f t="shared" si="0"/>
        <v>225000</v>
      </c>
      <c r="E13" s="46">
        <f t="shared" si="1"/>
        <v>45000</v>
      </c>
      <c r="F13" s="47">
        <f t="shared" si="2"/>
        <v>1080000</v>
      </c>
    </row>
    <row r="14" s="4" customFormat="1" ht="13.25" spans="1:6">
      <c r="A14" s="51">
        <v>10</v>
      </c>
      <c r="B14" s="52" t="s">
        <v>17</v>
      </c>
      <c r="C14" s="53">
        <v>800000</v>
      </c>
      <c r="D14" s="45">
        <f t="shared" si="0"/>
        <v>200000</v>
      </c>
      <c r="E14" s="46">
        <f t="shared" si="1"/>
        <v>40000</v>
      </c>
      <c r="F14" s="47">
        <f t="shared" si="2"/>
        <v>960000</v>
      </c>
    </row>
    <row r="15" s="4" customFormat="1" ht="13.75" spans="1:6">
      <c r="A15" s="54" t="s">
        <v>18</v>
      </c>
      <c r="B15" s="54"/>
      <c r="C15" s="54"/>
      <c r="D15" s="54"/>
      <c r="E15" s="54"/>
      <c r="F15" s="55">
        <f>SUM(F5:F14)</f>
        <v>17220000</v>
      </c>
    </row>
    <row r="16" s="4" customFormat="1" ht="13.75" spans="1:6">
      <c r="A16" s="54" t="s">
        <v>19</v>
      </c>
      <c r="B16" s="54"/>
      <c r="C16" s="54"/>
      <c r="D16" s="54"/>
      <c r="E16" s="54"/>
      <c r="F16" s="55">
        <f>MAX(F5:F14)</f>
        <v>3000000</v>
      </c>
    </row>
    <row r="17" s="4" customFormat="1" ht="13.75" spans="1:6">
      <c r="A17" s="54" t="s">
        <v>20</v>
      </c>
      <c r="B17" s="54"/>
      <c r="C17" s="54"/>
      <c r="D17" s="54"/>
      <c r="E17" s="54"/>
      <c r="F17" s="55">
        <f>MIN(F5:F14)</f>
        <v>960000</v>
      </c>
    </row>
    <row r="18" s="4" customFormat="1" ht="13.75" spans="1:6">
      <c r="A18" s="54" t="s">
        <v>21</v>
      </c>
      <c r="B18" s="54"/>
      <c r="C18" s="54"/>
      <c r="D18" s="54"/>
      <c r="E18" s="54"/>
      <c r="F18" s="55">
        <f>AVERAGE(F5:F14)</f>
        <v>1722000</v>
      </c>
    </row>
    <row r="19" s="4" customFormat="1" ht="14.5" spans="4:4">
      <c r="D19" s="39"/>
    </row>
    <row r="20" s="4" customFormat="1" ht="14.5" spans="1:4">
      <c r="A20" s="56"/>
      <c r="B20" s="56"/>
      <c r="D20" s="39"/>
    </row>
    <row r="21" s="4" customFormat="1" ht="14.5" spans="4:4">
      <c r="D21" s="39"/>
    </row>
    <row r="22" s="4" customFormat="1" ht="14.5" spans="4:4">
      <c r="D22" s="39"/>
    </row>
    <row r="23" s="4" customFormat="1" spans="1:6">
      <c r="A23" s="58" t="s">
        <v>22</v>
      </c>
      <c r="B23" s="57" t="s">
        <v>23</v>
      </c>
      <c r="C23" s="57"/>
      <c r="D23" s="57"/>
      <c r="E23" s="57"/>
      <c r="F23" s="57"/>
    </row>
    <row r="24" s="4" customFormat="1" spans="1:6">
      <c r="A24" s="58" t="s">
        <v>24</v>
      </c>
      <c r="B24" s="57" t="s">
        <v>25</v>
      </c>
      <c r="C24" s="57"/>
      <c r="D24" s="57"/>
      <c r="E24" s="57"/>
      <c r="F24" s="57"/>
    </row>
    <row r="25" s="4" customFormat="1" spans="1:6">
      <c r="A25" s="58" t="s">
        <v>26</v>
      </c>
      <c r="B25" s="57" t="s">
        <v>27</v>
      </c>
      <c r="C25" s="57"/>
      <c r="D25" s="57"/>
      <c r="E25" s="57"/>
      <c r="F25" s="57"/>
    </row>
    <row r="26" s="4" customFormat="1" spans="1:6">
      <c r="A26" s="58" t="s">
        <v>28</v>
      </c>
      <c r="B26" s="57" t="s">
        <v>29</v>
      </c>
      <c r="C26" s="57"/>
      <c r="D26" s="57"/>
      <c r="E26" s="57"/>
      <c r="F26" s="57"/>
    </row>
  </sheetData>
  <mergeCells count="11">
    <mergeCell ref="B1:F1"/>
    <mergeCell ref="B2:F2"/>
    <mergeCell ref="A15:E15"/>
    <mergeCell ref="A16:E16"/>
    <mergeCell ref="A17:E17"/>
    <mergeCell ref="A18:E18"/>
    <mergeCell ref="A20:B20"/>
    <mergeCell ref="B23:F23"/>
    <mergeCell ref="B24:F24"/>
    <mergeCell ref="B25:F25"/>
    <mergeCell ref="B26:F2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70" zoomScaleNormal="70" topLeftCell="A8" workbookViewId="0">
      <selection activeCell="K8" sqref="K8"/>
    </sheetView>
  </sheetViews>
  <sheetFormatPr defaultColWidth="9.18181818181818" defaultRowHeight="14.5"/>
  <cols>
    <col min="1" max="1" width="12.7272727272727" style="1" customWidth="1"/>
    <col min="2" max="2" width="10.4545454545455" style="1" customWidth="1"/>
    <col min="3" max="5" width="12.7272727272727" style="1" customWidth="1"/>
    <col min="6" max="6" width="6.27272727272727" style="1" customWidth="1"/>
    <col min="7" max="7" width="14.4545454545455" style="1" customWidth="1"/>
    <col min="8" max="8" width="14.7272727272727" style="1" customWidth="1"/>
    <col min="9" max="9" width="15.7272727272727" style="1" customWidth="1"/>
    <col min="10" max="10" width="15" style="1" customWidth="1"/>
    <col min="11" max="11" width="17.8181818181818" style="1" customWidth="1"/>
    <col min="12" max="12" width="9.18181818181818" style="1"/>
    <col min="13" max="13" width="23.1818181818182" style="1" customWidth="1"/>
    <col min="14" max="256" width="9.18181818181818" style="1"/>
    <col min="257" max="257" width="12.7272727272727" style="1" customWidth="1"/>
    <col min="258" max="258" width="10.4545454545455" style="1" customWidth="1"/>
    <col min="259" max="261" width="12.7272727272727" style="1" customWidth="1"/>
    <col min="262" max="262" width="6.27272727272727" style="1" customWidth="1"/>
    <col min="263" max="263" width="14.4545454545455" style="1" customWidth="1"/>
    <col min="264" max="264" width="14.7272727272727" style="1" customWidth="1"/>
    <col min="265" max="265" width="15.7272727272727" style="1" customWidth="1"/>
    <col min="266" max="266" width="15" style="1" customWidth="1"/>
    <col min="267" max="267" width="17.8181818181818" style="1" customWidth="1"/>
    <col min="268" max="268" width="9.18181818181818" style="1"/>
    <col min="269" max="269" width="23.1818181818182" style="1" customWidth="1"/>
    <col min="270" max="512" width="9.18181818181818" style="1"/>
    <col min="513" max="513" width="12.7272727272727" style="1" customWidth="1"/>
    <col min="514" max="514" width="10.4545454545455" style="1" customWidth="1"/>
    <col min="515" max="517" width="12.7272727272727" style="1" customWidth="1"/>
    <col min="518" max="518" width="6.27272727272727" style="1" customWidth="1"/>
    <col min="519" max="519" width="14.4545454545455" style="1" customWidth="1"/>
    <col min="520" max="520" width="14.7272727272727" style="1" customWidth="1"/>
    <col min="521" max="521" width="15.7272727272727" style="1" customWidth="1"/>
    <col min="522" max="522" width="15" style="1" customWidth="1"/>
    <col min="523" max="523" width="17.8181818181818" style="1" customWidth="1"/>
    <col min="524" max="524" width="9.18181818181818" style="1"/>
    <col min="525" max="525" width="23.1818181818182" style="1" customWidth="1"/>
    <col min="526" max="768" width="9.18181818181818" style="1"/>
    <col min="769" max="769" width="12.7272727272727" style="1" customWidth="1"/>
    <col min="770" max="770" width="10.4545454545455" style="1" customWidth="1"/>
    <col min="771" max="773" width="12.7272727272727" style="1" customWidth="1"/>
    <col min="774" max="774" width="6.27272727272727" style="1" customWidth="1"/>
    <col min="775" max="775" width="14.4545454545455" style="1" customWidth="1"/>
    <col min="776" max="776" width="14.7272727272727" style="1" customWidth="1"/>
    <col min="777" max="777" width="15.7272727272727" style="1" customWidth="1"/>
    <col min="778" max="778" width="15" style="1" customWidth="1"/>
    <col min="779" max="779" width="17.8181818181818" style="1" customWidth="1"/>
    <col min="780" max="780" width="9.18181818181818" style="1"/>
    <col min="781" max="781" width="23.1818181818182" style="1" customWidth="1"/>
    <col min="782" max="1024" width="9.18181818181818" style="1"/>
    <col min="1025" max="1025" width="12.7272727272727" style="1" customWidth="1"/>
    <col min="1026" max="1026" width="10.4545454545455" style="1" customWidth="1"/>
    <col min="1027" max="1029" width="12.7272727272727" style="1" customWidth="1"/>
    <col min="1030" max="1030" width="6.27272727272727" style="1" customWidth="1"/>
    <col min="1031" max="1031" width="14.4545454545455" style="1" customWidth="1"/>
    <col min="1032" max="1032" width="14.7272727272727" style="1" customWidth="1"/>
    <col min="1033" max="1033" width="15.7272727272727" style="1" customWidth="1"/>
    <col min="1034" max="1034" width="15" style="1" customWidth="1"/>
    <col min="1035" max="1035" width="17.8181818181818" style="1" customWidth="1"/>
    <col min="1036" max="1036" width="9.18181818181818" style="1"/>
    <col min="1037" max="1037" width="23.1818181818182" style="1" customWidth="1"/>
    <col min="1038" max="1280" width="9.18181818181818" style="1"/>
    <col min="1281" max="1281" width="12.7272727272727" style="1" customWidth="1"/>
    <col min="1282" max="1282" width="10.4545454545455" style="1" customWidth="1"/>
    <col min="1283" max="1285" width="12.7272727272727" style="1" customWidth="1"/>
    <col min="1286" max="1286" width="6.27272727272727" style="1" customWidth="1"/>
    <col min="1287" max="1287" width="14.4545454545455" style="1" customWidth="1"/>
    <col min="1288" max="1288" width="14.7272727272727" style="1" customWidth="1"/>
    <col min="1289" max="1289" width="15.7272727272727" style="1" customWidth="1"/>
    <col min="1290" max="1290" width="15" style="1" customWidth="1"/>
    <col min="1291" max="1291" width="17.8181818181818" style="1" customWidth="1"/>
    <col min="1292" max="1292" width="9.18181818181818" style="1"/>
    <col min="1293" max="1293" width="23.1818181818182" style="1" customWidth="1"/>
    <col min="1294" max="1536" width="9.18181818181818" style="1"/>
    <col min="1537" max="1537" width="12.7272727272727" style="1" customWidth="1"/>
    <col min="1538" max="1538" width="10.4545454545455" style="1" customWidth="1"/>
    <col min="1539" max="1541" width="12.7272727272727" style="1" customWidth="1"/>
    <col min="1542" max="1542" width="6.27272727272727" style="1" customWidth="1"/>
    <col min="1543" max="1543" width="14.4545454545455" style="1" customWidth="1"/>
    <col min="1544" max="1544" width="14.7272727272727" style="1" customWidth="1"/>
    <col min="1545" max="1545" width="15.7272727272727" style="1" customWidth="1"/>
    <col min="1546" max="1546" width="15" style="1" customWidth="1"/>
    <col min="1547" max="1547" width="17.8181818181818" style="1" customWidth="1"/>
    <col min="1548" max="1548" width="9.18181818181818" style="1"/>
    <col min="1549" max="1549" width="23.1818181818182" style="1" customWidth="1"/>
    <col min="1550" max="1792" width="9.18181818181818" style="1"/>
    <col min="1793" max="1793" width="12.7272727272727" style="1" customWidth="1"/>
    <col min="1794" max="1794" width="10.4545454545455" style="1" customWidth="1"/>
    <col min="1795" max="1797" width="12.7272727272727" style="1" customWidth="1"/>
    <col min="1798" max="1798" width="6.27272727272727" style="1" customWidth="1"/>
    <col min="1799" max="1799" width="14.4545454545455" style="1" customWidth="1"/>
    <col min="1800" max="1800" width="14.7272727272727" style="1" customWidth="1"/>
    <col min="1801" max="1801" width="15.7272727272727" style="1" customWidth="1"/>
    <col min="1802" max="1802" width="15" style="1" customWidth="1"/>
    <col min="1803" max="1803" width="17.8181818181818" style="1" customWidth="1"/>
    <col min="1804" max="1804" width="9.18181818181818" style="1"/>
    <col min="1805" max="1805" width="23.1818181818182" style="1" customWidth="1"/>
    <col min="1806" max="2048" width="9.18181818181818" style="1"/>
    <col min="2049" max="2049" width="12.7272727272727" style="1" customWidth="1"/>
    <col min="2050" max="2050" width="10.4545454545455" style="1" customWidth="1"/>
    <col min="2051" max="2053" width="12.7272727272727" style="1" customWidth="1"/>
    <col min="2054" max="2054" width="6.27272727272727" style="1" customWidth="1"/>
    <col min="2055" max="2055" width="14.4545454545455" style="1" customWidth="1"/>
    <col min="2056" max="2056" width="14.7272727272727" style="1" customWidth="1"/>
    <col min="2057" max="2057" width="15.7272727272727" style="1" customWidth="1"/>
    <col min="2058" max="2058" width="15" style="1" customWidth="1"/>
    <col min="2059" max="2059" width="17.8181818181818" style="1" customWidth="1"/>
    <col min="2060" max="2060" width="9.18181818181818" style="1"/>
    <col min="2061" max="2061" width="23.1818181818182" style="1" customWidth="1"/>
    <col min="2062" max="2304" width="9.18181818181818" style="1"/>
    <col min="2305" max="2305" width="12.7272727272727" style="1" customWidth="1"/>
    <col min="2306" max="2306" width="10.4545454545455" style="1" customWidth="1"/>
    <col min="2307" max="2309" width="12.7272727272727" style="1" customWidth="1"/>
    <col min="2310" max="2310" width="6.27272727272727" style="1" customWidth="1"/>
    <col min="2311" max="2311" width="14.4545454545455" style="1" customWidth="1"/>
    <col min="2312" max="2312" width="14.7272727272727" style="1" customWidth="1"/>
    <col min="2313" max="2313" width="15.7272727272727" style="1" customWidth="1"/>
    <col min="2314" max="2314" width="15" style="1" customWidth="1"/>
    <col min="2315" max="2315" width="17.8181818181818" style="1" customWidth="1"/>
    <col min="2316" max="2316" width="9.18181818181818" style="1"/>
    <col min="2317" max="2317" width="23.1818181818182" style="1" customWidth="1"/>
    <col min="2318" max="2560" width="9.18181818181818" style="1"/>
    <col min="2561" max="2561" width="12.7272727272727" style="1" customWidth="1"/>
    <col min="2562" max="2562" width="10.4545454545455" style="1" customWidth="1"/>
    <col min="2563" max="2565" width="12.7272727272727" style="1" customWidth="1"/>
    <col min="2566" max="2566" width="6.27272727272727" style="1" customWidth="1"/>
    <col min="2567" max="2567" width="14.4545454545455" style="1" customWidth="1"/>
    <col min="2568" max="2568" width="14.7272727272727" style="1" customWidth="1"/>
    <col min="2569" max="2569" width="15.7272727272727" style="1" customWidth="1"/>
    <col min="2570" max="2570" width="15" style="1" customWidth="1"/>
    <col min="2571" max="2571" width="17.8181818181818" style="1" customWidth="1"/>
    <col min="2572" max="2572" width="9.18181818181818" style="1"/>
    <col min="2573" max="2573" width="23.1818181818182" style="1" customWidth="1"/>
    <col min="2574" max="2816" width="9.18181818181818" style="1"/>
    <col min="2817" max="2817" width="12.7272727272727" style="1" customWidth="1"/>
    <col min="2818" max="2818" width="10.4545454545455" style="1" customWidth="1"/>
    <col min="2819" max="2821" width="12.7272727272727" style="1" customWidth="1"/>
    <col min="2822" max="2822" width="6.27272727272727" style="1" customWidth="1"/>
    <col min="2823" max="2823" width="14.4545454545455" style="1" customWidth="1"/>
    <col min="2824" max="2824" width="14.7272727272727" style="1" customWidth="1"/>
    <col min="2825" max="2825" width="15.7272727272727" style="1" customWidth="1"/>
    <col min="2826" max="2826" width="15" style="1" customWidth="1"/>
    <col min="2827" max="2827" width="17.8181818181818" style="1" customWidth="1"/>
    <col min="2828" max="2828" width="9.18181818181818" style="1"/>
    <col min="2829" max="2829" width="23.1818181818182" style="1" customWidth="1"/>
    <col min="2830" max="3072" width="9.18181818181818" style="1"/>
    <col min="3073" max="3073" width="12.7272727272727" style="1" customWidth="1"/>
    <col min="3074" max="3074" width="10.4545454545455" style="1" customWidth="1"/>
    <col min="3075" max="3077" width="12.7272727272727" style="1" customWidth="1"/>
    <col min="3078" max="3078" width="6.27272727272727" style="1" customWidth="1"/>
    <col min="3079" max="3079" width="14.4545454545455" style="1" customWidth="1"/>
    <col min="3080" max="3080" width="14.7272727272727" style="1" customWidth="1"/>
    <col min="3081" max="3081" width="15.7272727272727" style="1" customWidth="1"/>
    <col min="3082" max="3082" width="15" style="1" customWidth="1"/>
    <col min="3083" max="3083" width="17.8181818181818" style="1" customWidth="1"/>
    <col min="3084" max="3084" width="9.18181818181818" style="1"/>
    <col min="3085" max="3085" width="23.1818181818182" style="1" customWidth="1"/>
    <col min="3086" max="3328" width="9.18181818181818" style="1"/>
    <col min="3329" max="3329" width="12.7272727272727" style="1" customWidth="1"/>
    <col min="3330" max="3330" width="10.4545454545455" style="1" customWidth="1"/>
    <col min="3331" max="3333" width="12.7272727272727" style="1" customWidth="1"/>
    <col min="3334" max="3334" width="6.27272727272727" style="1" customWidth="1"/>
    <col min="3335" max="3335" width="14.4545454545455" style="1" customWidth="1"/>
    <col min="3336" max="3336" width="14.7272727272727" style="1" customWidth="1"/>
    <col min="3337" max="3337" width="15.7272727272727" style="1" customWidth="1"/>
    <col min="3338" max="3338" width="15" style="1" customWidth="1"/>
    <col min="3339" max="3339" width="17.8181818181818" style="1" customWidth="1"/>
    <col min="3340" max="3340" width="9.18181818181818" style="1"/>
    <col min="3341" max="3341" width="23.1818181818182" style="1" customWidth="1"/>
    <col min="3342" max="3584" width="9.18181818181818" style="1"/>
    <col min="3585" max="3585" width="12.7272727272727" style="1" customWidth="1"/>
    <col min="3586" max="3586" width="10.4545454545455" style="1" customWidth="1"/>
    <col min="3587" max="3589" width="12.7272727272727" style="1" customWidth="1"/>
    <col min="3590" max="3590" width="6.27272727272727" style="1" customWidth="1"/>
    <col min="3591" max="3591" width="14.4545454545455" style="1" customWidth="1"/>
    <col min="3592" max="3592" width="14.7272727272727" style="1" customWidth="1"/>
    <col min="3593" max="3593" width="15.7272727272727" style="1" customWidth="1"/>
    <col min="3594" max="3594" width="15" style="1" customWidth="1"/>
    <col min="3595" max="3595" width="17.8181818181818" style="1" customWidth="1"/>
    <col min="3596" max="3596" width="9.18181818181818" style="1"/>
    <col min="3597" max="3597" width="23.1818181818182" style="1" customWidth="1"/>
    <col min="3598" max="3840" width="9.18181818181818" style="1"/>
    <col min="3841" max="3841" width="12.7272727272727" style="1" customWidth="1"/>
    <col min="3842" max="3842" width="10.4545454545455" style="1" customWidth="1"/>
    <col min="3843" max="3845" width="12.7272727272727" style="1" customWidth="1"/>
    <col min="3846" max="3846" width="6.27272727272727" style="1" customWidth="1"/>
    <col min="3847" max="3847" width="14.4545454545455" style="1" customWidth="1"/>
    <col min="3848" max="3848" width="14.7272727272727" style="1" customWidth="1"/>
    <col min="3849" max="3849" width="15.7272727272727" style="1" customWidth="1"/>
    <col min="3850" max="3850" width="15" style="1" customWidth="1"/>
    <col min="3851" max="3851" width="17.8181818181818" style="1" customWidth="1"/>
    <col min="3852" max="3852" width="9.18181818181818" style="1"/>
    <col min="3853" max="3853" width="23.1818181818182" style="1" customWidth="1"/>
    <col min="3854" max="4096" width="9.18181818181818" style="1"/>
    <col min="4097" max="4097" width="12.7272727272727" style="1" customWidth="1"/>
    <col min="4098" max="4098" width="10.4545454545455" style="1" customWidth="1"/>
    <col min="4099" max="4101" width="12.7272727272727" style="1" customWidth="1"/>
    <col min="4102" max="4102" width="6.27272727272727" style="1" customWidth="1"/>
    <col min="4103" max="4103" width="14.4545454545455" style="1" customWidth="1"/>
    <col min="4104" max="4104" width="14.7272727272727" style="1" customWidth="1"/>
    <col min="4105" max="4105" width="15.7272727272727" style="1" customWidth="1"/>
    <col min="4106" max="4106" width="15" style="1" customWidth="1"/>
    <col min="4107" max="4107" width="17.8181818181818" style="1" customWidth="1"/>
    <col min="4108" max="4108" width="9.18181818181818" style="1"/>
    <col min="4109" max="4109" width="23.1818181818182" style="1" customWidth="1"/>
    <col min="4110" max="4352" width="9.18181818181818" style="1"/>
    <col min="4353" max="4353" width="12.7272727272727" style="1" customWidth="1"/>
    <col min="4354" max="4354" width="10.4545454545455" style="1" customWidth="1"/>
    <col min="4355" max="4357" width="12.7272727272727" style="1" customWidth="1"/>
    <col min="4358" max="4358" width="6.27272727272727" style="1" customWidth="1"/>
    <col min="4359" max="4359" width="14.4545454545455" style="1" customWidth="1"/>
    <col min="4360" max="4360" width="14.7272727272727" style="1" customWidth="1"/>
    <col min="4361" max="4361" width="15.7272727272727" style="1" customWidth="1"/>
    <col min="4362" max="4362" width="15" style="1" customWidth="1"/>
    <col min="4363" max="4363" width="17.8181818181818" style="1" customWidth="1"/>
    <col min="4364" max="4364" width="9.18181818181818" style="1"/>
    <col min="4365" max="4365" width="23.1818181818182" style="1" customWidth="1"/>
    <col min="4366" max="4608" width="9.18181818181818" style="1"/>
    <col min="4609" max="4609" width="12.7272727272727" style="1" customWidth="1"/>
    <col min="4610" max="4610" width="10.4545454545455" style="1" customWidth="1"/>
    <col min="4611" max="4613" width="12.7272727272727" style="1" customWidth="1"/>
    <col min="4614" max="4614" width="6.27272727272727" style="1" customWidth="1"/>
    <col min="4615" max="4615" width="14.4545454545455" style="1" customWidth="1"/>
    <col min="4616" max="4616" width="14.7272727272727" style="1" customWidth="1"/>
    <col min="4617" max="4617" width="15.7272727272727" style="1" customWidth="1"/>
    <col min="4618" max="4618" width="15" style="1" customWidth="1"/>
    <col min="4619" max="4619" width="17.8181818181818" style="1" customWidth="1"/>
    <col min="4620" max="4620" width="9.18181818181818" style="1"/>
    <col min="4621" max="4621" width="23.1818181818182" style="1" customWidth="1"/>
    <col min="4622" max="4864" width="9.18181818181818" style="1"/>
    <col min="4865" max="4865" width="12.7272727272727" style="1" customWidth="1"/>
    <col min="4866" max="4866" width="10.4545454545455" style="1" customWidth="1"/>
    <col min="4867" max="4869" width="12.7272727272727" style="1" customWidth="1"/>
    <col min="4870" max="4870" width="6.27272727272727" style="1" customWidth="1"/>
    <col min="4871" max="4871" width="14.4545454545455" style="1" customWidth="1"/>
    <col min="4872" max="4872" width="14.7272727272727" style="1" customWidth="1"/>
    <col min="4873" max="4873" width="15.7272727272727" style="1" customWidth="1"/>
    <col min="4874" max="4874" width="15" style="1" customWidth="1"/>
    <col min="4875" max="4875" width="17.8181818181818" style="1" customWidth="1"/>
    <col min="4876" max="4876" width="9.18181818181818" style="1"/>
    <col min="4877" max="4877" width="23.1818181818182" style="1" customWidth="1"/>
    <col min="4878" max="5120" width="9.18181818181818" style="1"/>
    <col min="5121" max="5121" width="12.7272727272727" style="1" customWidth="1"/>
    <col min="5122" max="5122" width="10.4545454545455" style="1" customWidth="1"/>
    <col min="5123" max="5125" width="12.7272727272727" style="1" customWidth="1"/>
    <col min="5126" max="5126" width="6.27272727272727" style="1" customWidth="1"/>
    <col min="5127" max="5127" width="14.4545454545455" style="1" customWidth="1"/>
    <col min="5128" max="5128" width="14.7272727272727" style="1" customWidth="1"/>
    <col min="5129" max="5129" width="15.7272727272727" style="1" customWidth="1"/>
    <col min="5130" max="5130" width="15" style="1" customWidth="1"/>
    <col min="5131" max="5131" width="17.8181818181818" style="1" customWidth="1"/>
    <col min="5132" max="5132" width="9.18181818181818" style="1"/>
    <col min="5133" max="5133" width="23.1818181818182" style="1" customWidth="1"/>
    <col min="5134" max="5376" width="9.18181818181818" style="1"/>
    <col min="5377" max="5377" width="12.7272727272727" style="1" customWidth="1"/>
    <col min="5378" max="5378" width="10.4545454545455" style="1" customWidth="1"/>
    <col min="5379" max="5381" width="12.7272727272727" style="1" customWidth="1"/>
    <col min="5382" max="5382" width="6.27272727272727" style="1" customWidth="1"/>
    <col min="5383" max="5383" width="14.4545454545455" style="1" customWidth="1"/>
    <col min="5384" max="5384" width="14.7272727272727" style="1" customWidth="1"/>
    <col min="5385" max="5385" width="15.7272727272727" style="1" customWidth="1"/>
    <col min="5386" max="5386" width="15" style="1" customWidth="1"/>
    <col min="5387" max="5387" width="17.8181818181818" style="1" customWidth="1"/>
    <col min="5388" max="5388" width="9.18181818181818" style="1"/>
    <col min="5389" max="5389" width="23.1818181818182" style="1" customWidth="1"/>
    <col min="5390" max="5632" width="9.18181818181818" style="1"/>
    <col min="5633" max="5633" width="12.7272727272727" style="1" customWidth="1"/>
    <col min="5634" max="5634" width="10.4545454545455" style="1" customWidth="1"/>
    <col min="5635" max="5637" width="12.7272727272727" style="1" customWidth="1"/>
    <col min="5638" max="5638" width="6.27272727272727" style="1" customWidth="1"/>
    <col min="5639" max="5639" width="14.4545454545455" style="1" customWidth="1"/>
    <col min="5640" max="5640" width="14.7272727272727" style="1" customWidth="1"/>
    <col min="5641" max="5641" width="15.7272727272727" style="1" customWidth="1"/>
    <col min="5642" max="5642" width="15" style="1" customWidth="1"/>
    <col min="5643" max="5643" width="17.8181818181818" style="1" customWidth="1"/>
    <col min="5644" max="5644" width="9.18181818181818" style="1"/>
    <col min="5645" max="5645" width="23.1818181818182" style="1" customWidth="1"/>
    <col min="5646" max="5888" width="9.18181818181818" style="1"/>
    <col min="5889" max="5889" width="12.7272727272727" style="1" customWidth="1"/>
    <col min="5890" max="5890" width="10.4545454545455" style="1" customWidth="1"/>
    <col min="5891" max="5893" width="12.7272727272727" style="1" customWidth="1"/>
    <col min="5894" max="5894" width="6.27272727272727" style="1" customWidth="1"/>
    <col min="5895" max="5895" width="14.4545454545455" style="1" customWidth="1"/>
    <col min="5896" max="5896" width="14.7272727272727" style="1" customWidth="1"/>
    <col min="5897" max="5897" width="15.7272727272727" style="1" customWidth="1"/>
    <col min="5898" max="5898" width="15" style="1" customWidth="1"/>
    <col min="5899" max="5899" width="17.8181818181818" style="1" customWidth="1"/>
    <col min="5900" max="5900" width="9.18181818181818" style="1"/>
    <col min="5901" max="5901" width="23.1818181818182" style="1" customWidth="1"/>
    <col min="5902" max="6144" width="9.18181818181818" style="1"/>
    <col min="6145" max="6145" width="12.7272727272727" style="1" customWidth="1"/>
    <col min="6146" max="6146" width="10.4545454545455" style="1" customWidth="1"/>
    <col min="6147" max="6149" width="12.7272727272727" style="1" customWidth="1"/>
    <col min="6150" max="6150" width="6.27272727272727" style="1" customWidth="1"/>
    <col min="6151" max="6151" width="14.4545454545455" style="1" customWidth="1"/>
    <col min="6152" max="6152" width="14.7272727272727" style="1" customWidth="1"/>
    <col min="6153" max="6153" width="15.7272727272727" style="1" customWidth="1"/>
    <col min="6154" max="6154" width="15" style="1" customWidth="1"/>
    <col min="6155" max="6155" width="17.8181818181818" style="1" customWidth="1"/>
    <col min="6156" max="6156" width="9.18181818181818" style="1"/>
    <col min="6157" max="6157" width="23.1818181818182" style="1" customWidth="1"/>
    <col min="6158" max="6400" width="9.18181818181818" style="1"/>
    <col min="6401" max="6401" width="12.7272727272727" style="1" customWidth="1"/>
    <col min="6402" max="6402" width="10.4545454545455" style="1" customWidth="1"/>
    <col min="6403" max="6405" width="12.7272727272727" style="1" customWidth="1"/>
    <col min="6406" max="6406" width="6.27272727272727" style="1" customWidth="1"/>
    <col min="6407" max="6407" width="14.4545454545455" style="1" customWidth="1"/>
    <col min="6408" max="6408" width="14.7272727272727" style="1" customWidth="1"/>
    <col min="6409" max="6409" width="15.7272727272727" style="1" customWidth="1"/>
    <col min="6410" max="6410" width="15" style="1" customWidth="1"/>
    <col min="6411" max="6411" width="17.8181818181818" style="1" customWidth="1"/>
    <col min="6412" max="6412" width="9.18181818181818" style="1"/>
    <col min="6413" max="6413" width="23.1818181818182" style="1" customWidth="1"/>
    <col min="6414" max="6656" width="9.18181818181818" style="1"/>
    <col min="6657" max="6657" width="12.7272727272727" style="1" customWidth="1"/>
    <col min="6658" max="6658" width="10.4545454545455" style="1" customWidth="1"/>
    <col min="6659" max="6661" width="12.7272727272727" style="1" customWidth="1"/>
    <col min="6662" max="6662" width="6.27272727272727" style="1" customWidth="1"/>
    <col min="6663" max="6663" width="14.4545454545455" style="1" customWidth="1"/>
    <col min="6664" max="6664" width="14.7272727272727" style="1" customWidth="1"/>
    <col min="6665" max="6665" width="15.7272727272727" style="1" customWidth="1"/>
    <col min="6666" max="6666" width="15" style="1" customWidth="1"/>
    <col min="6667" max="6667" width="17.8181818181818" style="1" customWidth="1"/>
    <col min="6668" max="6668" width="9.18181818181818" style="1"/>
    <col min="6669" max="6669" width="23.1818181818182" style="1" customWidth="1"/>
    <col min="6670" max="6912" width="9.18181818181818" style="1"/>
    <col min="6913" max="6913" width="12.7272727272727" style="1" customWidth="1"/>
    <col min="6914" max="6914" width="10.4545454545455" style="1" customWidth="1"/>
    <col min="6915" max="6917" width="12.7272727272727" style="1" customWidth="1"/>
    <col min="6918" max="6918" width="6.27272727272727" style="1" customWidth="1"/>
    <col min="6919" max="6919" width="14.4545454545455" style="1" customWidth="1"/>
    <col min="6920" max="6920" width="14.7272727272727" style="1" customWidth="1"/>
    <col min="6921" max="6921" width="15.7272727272727" style="1" customWidth="1"/>
    <col min="6922" max="6922" width="15" style="1" customWidth="1"/>
    <col min="6923" max="6923" width="17.8181818181818" style="1" customWidth="1"/>
    <col min="6924" max="6924" width="9.18181818181818" style="1"/>
    <col min="6925" max="6925" width="23.1818181818182" style="1" customWidth="1"/>
    <col min="6926" max="7168" width="9.18181818181818" style="1"/>
    <col min="7169" max="7169" width="12.7272727272727" style="1" customWidth="1"/>
    <col min="7170" max="7170" width="10.4545454545455" style="1" customWidth="1"/>
    <col min="7171" max="7173" width="12.7272727272727" style="1" customWidth="1"/>
    <col min="7174" max="7174" width="6.27272727272727" style="1" customWidth="1"/>
    <col min="7175" max="7175" width="14.4545454545455" style="1" customWidth="1"/>
    <col min="7176" max="7176" width="14.7272727272727" style="1" customWidth="1"/>
    <col min="7177" max="7177" width="15.7272727272727" style="1" customWidth="1"/>
    <col min="7178" max="7178" width="15" style="1" customWidth="1"/>
    <col min="7179" max="7179" width="17.8181818181818" style="1" customWidth="1"/>
    <col min="7180" max="7180" width="9.18181818181818" style="1"/>
    <col min="7181" max="7181" width="23.1818181818182" style="1" customWidth="1"/>
    <col min="7182" max="7424" width="9.18181818181818" style="1"/>
    <col min="7425" max="7425" width="12.7272727272727" style="1" customWidth="1"/>
    <col min="7426" max="7426" width="10.4545454545455" style="1" customWidth="1"/>
    <col min="7427" max="7429" width="12.7272727272727" style="1" customWidth="1"/>
    <col min="7430" max="7430" width="6.27272727272727" style="1" customWidth="1"/>
    <col min="7431" max="7431" width="14.4545454545455" style="1" customWidth="1"/>
    <col min="7432" max="7432" width="14.7272727272727" style="1" customWidth="1"/>
    <col min="7433" max="7433" width="15.7272727272727" style="1" customWidth="1"/>
    <col min="7434" max="7434" width="15" style="1" customWidth="1"/>
    <col min="7435" max="7435" width="17.8181818181818" style="1" customWidth="1"/>
    <col min="7436" max="7436" width="9.18181818181818" style="1"/>
    <col min="7437" max="7437" width="23.1818181818182" style="1" customWidth="1"/>
    <col min="7438" max="7680" width="9.18181818181818" style="1"/>
    <col min="7681" max="7681" width="12.7272727272727" style="1" customWidth="1"/>
    <col min="7682" max="7682" width="10.4545454545455" style="1" customWidth="1"/>
    <col min="7683" max="7685" width="12.7272727272727" style="1" customWidth="1"/>
    <col min="7686" max="7686" width="6.27272727272727" style="1" customWidth="1"/>
    <col min="7687" max="7687" width="14.4545454545455" style="1" customWidth="1"/>
    <col min="7688" max="7688" width="14.7272727272727" style="1" customWidth="1"/>
    <col min="7689" max="7689" width="15.7272727272727" style="1" customWidth="1"/>
    <col min="7690" max="7690" width="15" style="1" customWidth="1"/>
    <col min="7691" max="7691" width="17.8181818181818" style="1" customWidth="1"/>
    <col min="7692" max="7692" width="9.18181818181818" style="1"/>
    <col min="7693" max="7693" width="23.1818181818182" style="1" customWidth="1"/>
    <col min="7694" max="7936" width="9.18181818181818" style="1"/>
    <col min="7937" max="7937" width="12.7272727272727" style="1" customWidth="1"/>
    <col min="7938" max="7938" width="10.4545454545455" style="1" customWidth="1"/>
    <col min="7939" max="7941" width="12.7272727272727" style="1" customWidth="1"/>
    <col min="7942" max="7942" width="6.27272727272727" style="1" customWidth="1"/>
    <col min="7943" max="7943" width="14.4545454545455" style="1" customWidth="1"/>
    <col min="7944" max="7944" width="14.7272727272727" style="1" customWidth="1"/>
    <col min="7945" max="7945" width="15.7272727272727" style="1" customWidth="1"/>
    <col min="7946" max="7946" width="15" style="1" customWidth="1"/>
    <col min="7947" max="7947" width="17.8181818181818" style="1" customWidth="1"/>
    <col min="7948" max="7948" width="9.18181818181818" style="1"/>
    <col min="7949" max="7949" width="23.1818181818182" style="1" customWidth="1"/>
    <col min="7950" max="8192" width="9.18181818181818" style="1"/>
    <col min="8193" max="8193" width="12.7272727272727" style="1" customWidth="1"/>
    <col min="8194" max="8194" width="10.4545454545455" style="1" customWidth="1"/>
    <col min="8195" max="8197" width="12.7272727272727" style="1" customWidth="1"/>
    <col min="8198" max="8198" width="6.27272727272727" style="1" customWidth="1"/>
    <col min="8199" max="8199" width="14.4545454545455" style="1" customWidth="1"/>
    <col min="8200" max="8200" width="14.7272727272727" style="1" customWidth="1"/>
    <col min="8201" max="8201" width="15.7272727272727" style="1" customWidth="1"/>
    <col min="8202" max="8202" width="15" style="1" customWidth="1"/>
    <col min="8203" max="8203" width="17.8181818181818" style="1" customWidth="1"/>
    <col min="8204" max="8204" width="9.18181818181818" style="1"/>
    <col min="8205" max="8205" width="23.1818181818182" style="1" customWidth="1"/>
    <col min="8206" max="8448" width="9.18181818181818" style="1"/>
    <col min="8449" max="8449" width="12.7272727272727" style="1" customWidth="1"/>
    <col min="8450" max="8450" width="10.4545454545455" style="1" customWidth="1"/>
    <col min="8451" max="8453" width="12.7272727272727" style="1" customWidth="1"/>
    <col min="8454" max="8454" width="6.27272727272727" style="1" customWidth="1"/>
    <col min="8455" max="8455" width="14.4545454545455" style="1" customWidth="1"/>
    <col min="8456" max="8456" width="14.7272727272727" style="1" customWidth="1"/>
    <col min="8457" max="8457" width="15.7272727272727" style="1" customWidth="1"/>
    <col min="8458" max="8458" width="15" style="1" customWidth="1"/>
    <col min="8459" max="8459" width="17.8181818181818" style="1" customWidth="1"/>
    <col min="8460" max="8460" width="9.18181818181818" style="1"/>
    <col min="8461" max="8461" width="23.1818181818182" style="1" customWidth="1"/>
    <col min="8462" max="8704" width="9.18181818181818" style="1"/>
    <col min="8705" max="8705" width="12.7272727272727" style="1" customWidth="1"/>
    <col min="8706" max="8706" width="10.4545454545455" style="1" customWidth="1"/>
    <col min="8707" max="8709" width="12.7272727272727" style="1" customWidth="1"/>
    <col min="8710" max="8710" width="6.27272727272727" style="1" customWidth="1"/>
    <col min="8711" max="8711" width="14.4545454545455" style="1" customWidth="1"/>
    <col min="8712" max="8712" width="14.7272727272727" style="1" customWidth="1"/>
    <col min="8713" max="8713" width="15.7272727272727" style="1" customWidth="1"/>
    <col min="8714" max="8714" width="15" style="1" customWidth="1"/>
    <col min="8715" max="8715" width="17.8181818181818" style="1" customWidth="1"/>
    <col min="8716" max="8716" width="9.18181818181818" style="1"/>
    <col min="8717" max="8717" width="23.1818181818182" style="1" customWidth="1"/>
    <col min="8718" max="8960" width="9.18181818181818" style="1"/>
    <col min="8961" max="8961" width="12.7272727272727" style="1" customWidth="1"/>
    <col min="8962" max="8962" width="10.4545454545455" style="1" customWidth="1"/>
    <col min="8963" max="8965" width="12.7272727272727" style="1" customWidth="1"/>
    <col min="8966" max="8966" width="6.27272727272727" style="1" customWidth="1"/>
    <col min="8967" max="8967" width="14.4545454545455" style="1" customWidth="1"/>
    <col min="8968" max="8968" width="14.7272727272727" style="1" customWidth="1"/>
    <col min="8969" max="8969" width="15.7272727272727" style="1" customWidth="1"/>
    <col min="8970" max="8970" width="15" style="1" customWidth="1"/>
    <col min="8971" max="8971" width="17.8181818181818" style="1" customWidth="1"/>
    <col min="8972" max="8972" width="9.18181818181818" style="1"/>
    <col min="8973" max="8973" width="23.1818181818182" style="1" customWidth="1"/>
    <col min="8974" max="9216" width="9.18181818181818" style="1"/>
    <col min="9217" max="9217" width="12.7272727272727" style="1" customWidth="1"/>
    <col min="9218" max="9218" width="10.4545454545455" style="1" customWidth="1"/>
    <col min="9219" max="9221" width="12.7272727272727" style="1" customWidth="1"/>
    <col min="9222" max="9222" width="6.27272727272727" style="1" customWidth="1"/>
    <col min="9223" max="9223" width="14.4545454545455" style="1" customWidth="1"/>
    <col min="9224" max="9224" width="14.7272727272727" style="1" customWidth="1"/>
    <col min="9225" max="9225" width="15.7272727272727" style="1" customWidth="1"/>
    <col min="9226" max="9226" width="15" style="1" customWidth="1"/>
    <col min="9227" max="9227" width="17.8181818181818" style="1" customWidth="1"/>
    <col min="9228" max="9228" width="9.18181818181818" style="1"/>
    <col min="9229" max="9229" width="23.1818181818182" style="1" customWidth="1"/>
    <col min="9230" max="9472" width="9.18181818181818" style="1"/>
    <col min="9473" max="9473" width="12.7272727272727" style="1" customWidth="1"/>
    <col min="9474" max="9474" width="10.4545454545455" style="1" customWidth="1"/>
    <col min="9475" max="9477" width="12.7272727272727" style="1" customWidth="1"/>
    <col min="9478" max="9478" width="6.27272727272727" style="1" customWidth="1"/>
    <col min="9479" max="9479" width="14.4545454545455" style="1" customWidth="1"/>
    <col min="9480" max="9480" width="14.7272727272727" style="1" customWidth="1"/>
    <col min="9481" max="9481" width="15.7272727272727" style="1" customWidth="1"/>
    <col min="9482" max="9482" width="15" style="1" customWidth="1"/>
    <col min="9483" max="9483" width="17.8181818181818" style="1" customWidth="1"/>
    <col min="9484" max="9484" width="9.18181818181818" style="1"/>
    <col min="9485" max="9485" width="23.1818181818182" style="1" customWidth="1"/>
    <col min="9486" max="9728" width="9.18181818181818" style="1"/>
    <col min="9729" max="9729" width="12.7272727272727" style="1" customWidth="1"/>
    <col min="9730" max="9730" width="10.4545454545455" style="1" customWidth="1"/>
    <col min="9731" max="9733" width="12.7272727272727" style="1" customWidth="1"/>
    <col min="9734" max="9734" width="6.27272727272727" style="1" customWidth="1"/>
    <col min="9735" max="9735" width="14.4545454545455" style="1" customWidth="1"/>
    <col min="9736" max="9736" width="14.7272727272727" style="1" customWidth="1"/>
    <col min="9737" max="9737" width="15.7272727272727" style="1" customWidth="1"/>
    <col min="9738" max="9738" width="15" style="1" customWidth="1"/>
    <col min="9739" max="9739" width="17.8181818181818" style="1" customWidth="1"/>
    <col min="9740" max="9740" width="9.18181818181818" style="1"/>
    <col min="9741" max="9741" width="23.1818181818182" style="1" customWidth="1"/>
    <col min="9742" max="9984" width="9.18181818181818" style="1"/>
    <col min="9985" max="9985" width="12.7272727272727" style="1" customWidth="1"/>
    <col min="9986" max="9986" width="10.4545454545455" style="1" customWidth="1"/>
    <col min="9987" max="9989" width="12.7272727272727" style="1" customWidth="1"/>
    <col min="9990" max="9990" width="6.27272727272727" style="1" customWidth="1"/>
    <col min="9991" max="9991" width="14.4545454545455" style="1" customWidth="1"/>
    <col min="9992" max="9992" width="14.7272727272727" style="1" customWidth="1"/>
    <col min="9993" max="9993" width="15.7272727272727" style="1" customWidth="1"/>
    <col min="9994" max="9994" width="15" style="1" customWidth="1"/>
    <col min="9995" max="9995" width="17.8181818181818" style="1" customWidth="1"/>
    <col min="9996" max="9996" width="9.18181818181818" style="1"/>
    <col min="9997" max="9997" width="23.1818181818182" style="1" customWidth="1"/>
    <col min="9998" max="10240" width="9.18181818181818" style="1"/>
    <col min="10241" max="10241" width="12.7272727272727" style="1" customWidth="1"/>
    <col min="10242" max="10242" width="10.4545454545455" style="1" customWidth="1"/>
    <col min="10243" max="10245" width="12.7272727272727" style="1" customWidth="1"/>
    <col min="10246" max="10246" width="6.27272727272727" style="1" customWidth="1"/>
    <col min="10247" max="10247" width="14.4545454545455" style="1" customWidth="1"/>
    <col min="10248" max="10248" width="14.7272727272727" style="1" customWidth="1"/>
    <col min="10249" max="10249" width="15.7272727272727" style="1" customWidth="1"/>
    <col min="10250" max="10250" width="15" style="1" customWidth="1"/>
    <col min="10251" max="10251" width="17.8181818181818" style="1" customWidth="1"/>
    <col min="10252" max="10252" width="9.18181818181818" style="1"/>
    <col min="10253" max="10253" width="23.1818181818182" style="1" customWidth="1"/>
    <col min="10254" max="10496" width="9.18181818181818" style="1"/>
    <col min="10497" max="10497" width="12.7272727272727" style="1" customWidth="1"/>
    <col min="10498" max="10498" width="10.4545454545455" style="1" customWidth="1"/>
    <col min="10499" max="10501" width="12.7272727272727" style="1" customWidth="1"/>
    <col min="10502" max="10502" width="6.27272727272727" style="1" customWidth="1"/>
    <col min="10503" max="10503" width="14.4545454545455" style="1" customWidth="1"/>
    <col min="10504" max="10504" width="14.7272727272727" style="1" customWidth="1"/>
    <col min="10505" max="10505" width="15.7272727272727" style="1" customWidth="1"/>
    <col min="10506" max="10506" width="15" style="1" customWidth="1"/>
    <col min="10507" max="10507" width="17.8181818181818" style="1" customWidth="1"/>
    <col min="10508" max="10508" width="9.18181818181818" style="1"/>
    <col min="10509" max="10509" width="23.1818181818182" style="1" customWidth="1"/>
    <col min="10510" max="10752" width="9.18181818181818" style="1"/>
    <col min="10753" max="10753" width="12.7272727272727" style="1" customWidth="1"/>
    <col min="10754" max="10754" width="10.4545454545455" style="1" customWidth="1"/>
    <col min="10755" max="10757" width="12.7272727272727" style="1" customWidth="1"/>
    <col min="10758" max="10758" width="6.27272727272727" style="1" customWidth="1"/>
    <col min="10759" max="10759" width="14.4545454545455" style="1" customWidth="1"/>
    <col min="10760" max="10760" width="14.7272727272727" style="1" customWidth="1"/>
    <col min="10761" max="10761" width="15.7272727272727" style="1" customWidth="1"/>
    <col min="10762" max="10762" width="15" style="1" customWidth="1"/>
    <col min="10763" max="10763" width="17.8181818181818" style="1" customWidth="1"/>
    <col min="10764" max="10764" width="9.18181818181818" style="1"/>
    <col min="10765" max="10765" width="23.1818181818182" style="1" customWidth="1"/>
    <col min="10766" max="11008" width="9.18181818181818" style="1"/>
    <col min="11009" max="11009" width="12.7272727272727" style="1" customWidth="1"/>
    <col min="11010" max="11010" width="10.4545454545455" style="1" customWidth="1"/>
    <col min="11011" max="11013" width="12.7272727272727" style="1" customWidth="1"/>
    <col min="11014" max="11014" width="6.27272727272727" style="1" customWidth="1"/>
    <col min="11015" max="11015" width="14.4545454545455" style="1" customWidth="1"/>
    <col min="11016" max="11016" width="14.7272727272727" style="1" customWidth="1"/>
    <col min="11017" max="11017" width="15.7272727272727" style="1" customWidth="1"/>
    <col min="11018" max="11018" width="15" style="1" customWidth="1"/>
    <col min="11019" max="11019" width="17.8181818181818" style="1" customWidth="1"/>
    <col min="11020" max="11020" width="9.18181818181818" style="1"/>
    <col min="11021" max="11021" width="23.1818181818182" style="1" customWidth="1"/>
    <col min="11022" max="11264" width="9.18181818181818" style="1"/>
    <col min="11265" max="11265" width="12.7272727272727" style="1" customWidth="1"/>
    <col min="11266" max="11266" width="10.4545454545455" style="1" customWidth="1"/>
    <col min="11267" max="11269" width="12.7272727272727" style="1" customWidth="1"/>
    <col min="11270" max="11270" width="6.27272727272727" style="1" customWidth="1"/>
    <col min="11271" max="11271" width="14.4545454545455" style="1" customWidth="1"/>
    <col min="11272" max="11272" width="14.7272727272727" style="1" customWidth="1"/>
    <col min="11273" max="11273" width="15.7272727272727" style="1" customWidth="1"/>
    <col min="11274" max="11274" width="15" style="1" customWidth="1"/>
    <col min="11275" max="11275" width="17.8181818181818" style="1" customWidth="1"/>
    <col min="11276" max="11276" width="9.18181818181818" style="1"/>
    <col min="11277" max="11277" width="23.1818181818182" style="1" customWidth="1"/>
    <col min="11278" max="11520" width="9.18181818181818" style="1"/>
    <col min="11521" max="11521" width="12.7272727272727" style="1" customWidth="1"/>
    <col min="11522" max="11522" width="10.4545454545455" style="1" customWidth="1"/>
    <col min="11523" max="11525" width="12.7272727272727" style="1" customWidth="1"/>
    <col min="11526" max="11526" width="6.27272727272727" style="1" customWidth="1"/>
    <col min="11527" max="11527" width="14.4545454545455" style="1" customWidth="1"/>
    <col min="11528" max="11528" width="14.7272727272727" style="1" customWidth="1"/>
    <col min="11529" max="11529" width="15.7272727272727" style="1" customWidth="1"/>
    <col min="11530" max="11530" width="15" style="1" customWidth="1"/>
    <col min="11531" max="11531" width="17.8181818181818" style="1" customWidth="1"/>
    <col min="11532" max="11532" width="9.18181818181818" style="1"/>
    <col min="11533" max="11533" width="23.1818181818182" style="1" customWidth="1"/>
    <col min="11534" max="11776" width="9.18181818181818" style="1"/>
    <col min="11777" max="11777" width="12.7272727272727" style="1" customWidth="1"/>
    <col min="11778" max="11778" width="10.4545454545455" style="1" customWidth="1"/>
    <col min="11779" max="11781" width="12.7272727272727" style="1" customWidth="1"/>
    <col min="11782" max="11782" width="6.27272727272727" style="1" customWidth="1"/>
    <col min="11783" max="11783" width="14.4545454545455" style="1" customWidth="1"/>
    <col min="11784" max="11784" width="14.7272727272727" style="1" customWidth="1"/>
    <col min="11785" max="11785" width="15.7272727272727" style="1" customWidth="1"/>
    <col min="11786" max="11786" width="15" style="1" customWidth="1"/>
    <col min="11787" max="11787" width="17.8181818181818" style="1" customWidth="1"/>
    <col min="11788" max="11788" width="9.18181818181818" style="1"/>
    <col min="11789" max="11789" width="23.1818181818182" style="1" customWidth="1"/>
    <col min="11790" max="12032" width="9.18181818181818" style="1"/>
    <col min="12033" max="12033" width="12.7272727272727" style="1" customWidth="1"/>
    <col min="12034" max="12034" width="10.4545454545455" style="1" customWidth="1"/>
    <col min="12035" max="12037" width="12.7272727272727" style="1" customWidth="1"/>
    <col min="12038" max="12038" width="6.27272727272727" style="1" customWidth="1"/>
    <col min="12039" max="12039" width="14.4545454545455" style="1" customWidth="1"/>
    <col min="12040" max="12040" width="14.7272727272727" style="1" customWidth="1"/>
    <col min="12041" max="12041" width="15.7272727272727" style="1" customWidth="1"/>
    <col min="12042" max="12042" width="15" style="1" customWidth="1"/>
    <col min="12043" max="12043" width="17.8181818181818" style="1" customWidth="1"/>
    <col min="12044" max="12044" width="9.18181818181818" style="1"/>
    <col min="12045" max="12045" width="23.1818181818182" style="1" customWidth="1"/>
    <col min="12046" max="12288" width="9.18181818181818" style="1"/>
    <col min="12289" max="12289" width="12.7272727272727" style="1" customWidth="1"/>
    <col min="12290" max="12290" width="10.4545454545455" style="1" customWidth="1"/>
    <col min="12291" max="12293" width="12.7272727272727" style="1" customWidth="1"/>
    <col min="12294" max="12294" width="6.27272727272727" style="1" customWidth="1"/>
    <col min="12295" max="12295" width="14.4545454545455" style="1" customWidth="1"/>
    <col min="12296" max="12296" width="14.7272727272727" style="1" customWidth="1"/>
    <col min="12297" max="12297" width="15.7272727272727" style="1" customWidth="1"/>
    <col min="12298" max="12298" width="15" style="1" customWidth="1"/>
    <col min="12299" max="12299" width="17.8181818181818" style="1" customWidth="1"/>
    <col min="12300" max="12300" width="9.18181818181818" style="1"/>
    <col min="12301" max="12301" width="23.1818181818182" style="1" customWidth="1"/>
    <col min="12302" max="12544" width="9.18181818181818" style="1"/>
    <col min="12545" max="12545" width="12.7272727272727" style="1" customWidth="1"/>
    <col min="12546" max="12546" width="10.4545454545455" style="1" customWidth="1"/>
    <col min="12547" max="12549" width="12.7272727272727" style="1" customWidth="1"/>
    <col min="12550" max="12550" width="6.27272727272727" style="1" customWidth="1"/>
    <col min="12551" max="12551" width="14.4545454545455" style="1" customWidth="1"/>
    <col min="12552" max="12552" width="14.7272727272727" style="1" customWidth="1"/>
    <col min="12553" max="12553" width="15.7272727272727" style="1" customWidth="1"/>
    <col min="12554" max="12554" width="15" style="1" customWidth="1"/>
    <col min="12555" max="12555" width="17.8181818181818" style="1" customWidth="1"/>
    <col min="12556" max="12556" width="9.18181818181818" style="1"/>
    <col min="12557" max="12557" width="23.1818181818182" style="1" customWidth="1"/>
    <col min="12558" max="12800" width="9.18181818181818" style="1"/>
    <col min="12801" max="12801" width="12.7272727272727" style="1" customWidth="1"/>
    <col min="12802" max="12802" width="10.4545454545455" style="1" customWidth="1"/>
    <col min="12803" max="12805" width="12.7272727272727" style="1" customWidth="1"/>
    <col min="12806" max="12806" width="6.27272727272727" style="1" customWidth="1"/>
    <col min="12807" max="12807" width="14.4545454545455" style="1" customWidth="1"/>
    <col min="12808" max="12808" width="14.7272727272727" style="1" customWidth="1"/>
    <col min="12809" max="12809" width="15.7272727272727" style="1" customWidth="1"/>
    <col min="12810" max="12810" width="15" style="1" customWidth="1"/>
    <col min="12811" max="12811" width="17.8181818181818" style="1" customWidth="1"/>
    <col min="12812" max="12812" width="9.18181818181818" style="1"/>
    <col min="12813" max="12813" width="23.1818181818182" style="1" customWidth="1"/>
    <col min="12814" max="13056" width="9.18181818181818" style="1"/>
    <col min="13057" max="13057" width="12.7272727272727" style="1" customWidth="1"/>
    <col min="13058" max="13058" width="10.4545454545455" style="1" customWidth="1"/>
    <col min="13059" max="13061" width="12.7272727272727" style="1" customWidth="1"/>
    <col min="13062" max="13062" width="6.27272727272727" style="1" customWidth="1"/>
    <col min="13063" max="13063" width="14.4545454545455" style="1" customWidth="1"/>
    <col min="13064" max="13064" width="14.7272727272727" style="1" customWidth="1"/>
    <col min="13065" max="13065" width="15.7272727272727" style="1" customWidth="1"/>
    <col min="13066" max="13066" width="15" style="1" customWidth="1"/>
    <col min="13067" max="13067" width="17.8181818181818" style="1" customWidth="1"/>
    <col min="13068" max="13068" width="9.18181818181818" style="1"/>
    <col min="13069" max="13069" width="23.1818181818182" style="1" customWidth="1"/>
    <col min="13070" max="13312" width="9.18181818181818" style="1"/>
    <col min="13313" max="13313" width="12.7272727272727" style="1" customWidth="1"/>
    <col min="13314" max="13314" width="10.4545454545455" style="1" customWidth="1"/>
    <col min="13315" max="13317" width="12.7272727272727" style="1" customWidth="1"/>
    <col min="13318" max="13318" width="6.27272727272727" style="1" customWidth="1"/>
    <col min="13319" max="13319" width="14.4545454545455" style="1" customWidth="1"/>
    <col min="13320" max="13320" width="14.7272727272727" style="1" customWidth="1"/>
    <col min="13321" max="13321" width="15.7272727272727" style="1" customWidth="1"/>
    <col min="13322" max="13322" width="15" style="1" customWidth="1"/>
    <col min="13323" max="13323" width="17.8181818181818" style="1" customWidth="1"/>
    <col min="13324" max="13324" width="9.18181818181818" style="1"/>
    <col min="13325" max="13325" width="23.1818181818182" style="1" customWidth="1"/>
    <col min="13326" max="13568" width="9.18181818181818" style="1"/>
    <col min="13569" max="13569" width="12.7272727272727" style="1" customWidth="1"/>
    <col min="13570" max="13570" width="10.4545454545455" style="1" customWidth="1"/>
    <col min="13571" max="13573" width="12.7272727272727" style="1" customWidth="1"/>
    <col min="13574" max="13574" width="6.27272727272727" style="1" customWidth="1"/>
    <col min="13575" max="13575" width="14.4545454545455" style="1" customWidth="1"/>
    <col min="13576" max="13576" width="14.7272727272727" style="1" customWidth="1"/>
    <col min="13577" max="13577" width="15.7272727272727" style="1" customWidth="1"/>
    <col min="13578" max="13578" width="15" style="1" customWidth="1"/>
    <col min="13579" max="13579" width="17.8181818181818" style="1" customWidth="1"/>
    <col min="13580" max="13580" width="9.18181818181818" style="1"/>
    <col min="13581" max="13581" width="23.1818181818182" style="1" customWidth="1"/>
    <col min="13582" max="13824" width="9.18181818181818" style="1"/>
    <col min="13825" max="13825" width="12.7272727272727" style="1" customWidth="1"/>
    <col min="13826" max="13826" width="10.4545454545455" style="1" customWidth="1"/>
    <col min="13827" max="13829" width="12.7272727272727" style="1" customWidth="1"/>
    <col min="13830" max="13830" width="6.27272727272727" style="1" customWidth="1"/>
    <col min="13831" max="13831" width="14.4545454545455" style="1" customWidth="1"/>
    <col min="13832" max="13832" width="14.7272727272727" style="1" customWidth="1"/>
    <col min="13833" max="13833" width="15.7272727272727" style="1" customWidth="1"/>
    <col min="13834" max="13834" width="15" style="1" customWidth="1"/>
    <col min="13835" max="13835" width="17.8181818181818" style="1" customWidth="1"/>
    <col min="13836" max="13836" width="9.18181818181818" style="1"/>
    <col min="13837" max="13837" width="23.1818181818182" style="1" customWidth="1"/>
    <col min="13838" max="14080" width="9.18181818181818" style="1"/>
    <col min="14081" max="14081" width="12.7272727272727" style="1" customWidth="1"/>
    <col min="14082" max="14082" width="10.4545454545455" style="1" customWidth="1"/>
    <col min="14083" max="14085" width="12.7272727272727" style="1" customWidth="1"/>
    <col min="14086" max="14086" width="6.27272727272727" style="1" customWidth="1"/>
    <col min="14087" max="14087" width="14.4545454545455" style="1" customWidth="1"/>
    <col min="14088" max="14088" width="14.7272727272727" style="1" customWidth="1"/>
    <col min="14089" max="14089" width="15.7272727272727" style="1" customWidth="1"/>
    <col min="14090" max="14090" width="15" style="1" customWidth="1"/>
    <col min="14091" max="14091" width="17.8181818181818" style="1" customWidth="1"/>
    <col min="14092" max="14092" width="9.18181818181818" style="1"/>
    <col min="14093" max="14093" width="23.1818181818182" style="1" customWidth="1"/>
    <col min="14094" max="14336" width="9.18181818181818" style="1"/>
    <col min="14337" max="14337" width="12.7272727272727" style="1" customWidth="1"/>
    <col min="14338" max="14338" width="10.4545454545455" style="1" customWidth="1"/>
    <col min="14339" max="14341" width="12.7272727272727" style="1" customWidth="1"/>
    <col min="14342" max="14342" width="6.27272727272727" style="1" customWidth="1"/>
    <col min="14343" max="14343" width="14.4545454545455" style="1" customWidth="1"/>
    <col min="14344" max="14344" width="14.7272727272727" style="1" customWidth="1"/>
    <col min="14345" max="14345" width="15.7272727272727" style="1" customWidth="1"/>
    <col min="14346" max="14346" width="15" style="1" customWidth="1"/>
    <col min="14347" max="14347" width="17.8181818181818" style="1" customWidth="1"/>
    <col min="14348" max="14348" width="9.18181818181818" style="1"/>
    <col min="14349" max="14349" width="23.1818181818182" style="1" customWidth="1"/>
    <col min="14350" max="14592" width="9.18181818181818" style="1"/>
    <col min="14593" max="14593" width="12.7272727272727" style="1" customWidth="1"/>
    <col min="14594" max="14594" width="10.4545454545455" style="1" customWidth="1"/>
    <col min="14595" max="14597" width="12.7272727272727" style="1" customWidth="1"/>
    <col min="14598" max="14598" width="6.27272727272727" style="1" customWidth="1"/>
    <col min="14599" max="14599" width="14.4545454545455" style="1" customWidth="1"/>
    <col min="14600" max="14600" width="14.7272727272727" style="1" customWidth="1"/>
    <col min="14601" max="14601" width="15.7272727272727" style="1" customWidth="1"/>
    <col min="14602" max="14602" width="15" style="1" customWidth="1"/>
    <col min="14603" max="14603" width="17.8181818181818" style="1" customWidth="1"/>
    <col min="14604" max="14604" width="9.18181818181818" style="1"/>
    <col min="14605" max="14605" width="23.1818181818182" style="1" customWidth="1"/>
    <col min="14606" max="14848" width="9.18181818181818" style="1"/>
    <col min="14849" max="14849" width="12.7272727272727" style="1" customWidth="1"/>
    <col min="14850" max="14850" width="10.4545454545455" style="1" customWidth="1"/>
    <col min="14851" max="14853" width="12.7272727272727" style="1" customWidth="1"/>
    <col min="14854" max="14854" width="6.27272727272727" style="1" customWidth="1"/>
    <col min="14855" max="14855" width="14.4545454545455" style="1" customWidth="1"/>
    <col min="14856" max="14856" width="14.7272727272727" style="1" customWidth="1"/>
    <col min="14857" max="14857" width="15.7272727272727" style="1" customWidth="1"/>
    <col min="14858" max="14858" width="15" style="1" customWidth="1"/>
    <col min="14859" max="14859" width="17.8181818181818" style="1" customWidth="1"/>
    <col min="14860" max="14860" width="9.18181818181818" style="1"/>
    <col min="14861" max="14861" width="23.1818181818182" style="1" customWidth="1"/>
    <col min="14862" max="15104" width="9.18181818181818" style="1"/>
    <col min="15105" max="15105" width="12.7272727272727" style="1" customWidth="1"/>
    <col min="15106" max="15106" width="10.4545454545455" style="1" customWidth="1"/>
    <col min="15107" max="15109" width="12.7272727272727" style="1" customWidth="1"/>
    <col min="15110" max="15110" width="6.27272727272727" style="1" customWidth="1"/>
    <col min="15111" max="15111" width="14.4545454545455" style="1" customWidth="1"/>
    <col min="15112" max="15112" width="14.7272727272727" style="1" customWidth="1"/>
    <col min="15113" max="15113" width="15.7272727272727" style="1" customWidth="1"/>
    <col min="15114" max="15114" width="15" style="1" customWidth="1"/>
    <col min="15115" max="15115" width="17.8181818181818" style="1" customWidth="1"/>
    <col min="15116" max="15116" width="9.18181818181818" style="1"/>
    <col min="15117" max="15117" width="23.1818181818182" style="1" customWidth="1"/>
    <col min="15118" max="15360" width="9.18181818181818" style="1"/>
    <col min="15361" max="15361" width="12.7272727272727" style="1" customWidth="1"/>
    <col min="15362" max="15362" width="10.4545454545455" style="1" customWidth="1"/>
    <col min="15363" max="15365" width="12.7272727272727" style="1" customWidth="1"/>
    <col min="15366" max="15366" width="6.27272727272727" style="1" customWidth="1"/>
    <col min="15367" max="15367" width="14.4545454545455" style="1" customWidth="1"/>
    <col min="15368" max="15368" width="14.7272727272727" style="1" customWidth="1"/>
    <col min="15369" max="15369" width="15.7272727272727" style="1" customWidth="1"/>
    <col min="15370" max="15370" width="15" style="1" customWidth="1"/>
    <col min="15371" max="15371" width="17.8181818181818" style="1" customWidth="1"/>
    <col min="15372" max="15372" width="9.18181818181818" style="1"/>
    <col min="15373" max="15373" width="23.1818181818182" style="1" customWidth="1"/>
    <col min="15374" max="15616" width="9.18181818181818" style="1"/>
    <col min="15617" max="15617" width="12.7272727272727" style="1" customWidth="1"/>
    <col min="15618" max="15618" width="10.4545454545455" style="1" customWidth="1"/>
    <col min="15619" max="15621" width="12.7272727272727" style="1" customWidth="1"/>
    <col min="15622" max="15622" width="6.27272727272727" style="1" customWidth="1"/>
    <col min="15623" max="15623" width="14.4545454545455" style="1" customWidth="1"/>
    <col min="15624" max="15624" width="14.7272727272727" style="1" customWidth="1"/>
    <col min="15625" max="15625" width="15.7272727272727" style="1" customWidth="1"/>
    <col min="15626" max="15626" width="15" style="1" customWidth="1"/>
    <col min="15627" max="15627" width="17.8181818181818" style="1" customWidth="1"/>
    <col min="15628" max="15628" width="9.18181818181818" style="1"/>
    <col min="15629" max="15629" width="23.1818181818182" style="1" customWidth="1"/>
    <col min="15630" max="15872" width="9.18181818181818" style="1"/>
    <col min="15873" max="15873" width="12.7272727272727" style="1" customWidth="1"/>
    <col min="15874" max="15874" width="10.4545454545455" style="1" customWidth="1"/>
    <col min="15875" max="15877" width="12.7272727272727" style="1" customWidth="1"/>
    <col min="15878" max="15878" width="6.27272727272727" style="1" customWidth="1"/>
    <col min="15879" max="15879" width="14.4545454545455" style="1" customWidth="1"/>
    <col min="15880" max="15880" width="14.7272727272727" style="1" customWidth="1"/>
    <col min="15881" max="15881" width="15.7272727272727" style="1" customWidth="1"/>
    <col min="15882" max="15882" width="15" style="1" customWidth="1"/>
    <col min="15883" max="15883" width="17.8181818181818" style="1" customWidth="1"/>
    <col min="15884" max="15884" width="9.18181818181818" style="1"/>
    <col min="15885" max="15885" width="23.1818181818182" style="1" customWidth="1"/>
    <col min="15886" max="16128" width="9.18181818181818" style="1"/>
    <col min="16129" max="16129" width="12.7272727272727" style="1" customWidth="1"/>
    <col min="16130" max="16130" width="10.4545454545455" style="1" customWidth="1"/>
    <col min="16131" max="16133" width="12.7272727272727" style="1" customWidth="1"/>
    <col min="16134" max="16134" width="6.27272727272727" style="1" customWidth="1"/>
    <col min="16135" max="16135" width="14.4545454545455" style="1" customWidth="1"/>
    <col min="16136" max="16136" width="14.7272727272727" style="1" customWidth="1"/>
    <col min="16137" max="16137" width="15.7272727272727" style="1" customWidth="1"/>
    <col min="16138" max="16138" width="15" style="1" customWidth="1"/>
    <col min="16139" max="16139" width="17.8181818181818" style="1" customWidth="1"/>
    <col min="16140" max="16140" width="9.18181818181818" style="1"/>
    <col min="16141" max="16141" width="23.1818181818182" style="1" customWidth="1"/>
    <col min="16142" max="16384" width="9.18181818181818" style="1"/>
  </cols>
  <sheetData>
    <row r="1" s="1" customFormat="1" ht="19.5" customHeight="1" spans="1:13">
      <c r="A1" s="5" t="s">
        <v>30</v>
      </c>
      <c r="B1" s="6"/>
      <c r="C1" s="7"/>
      <c r="D1" s="7"/>
      <c r="E1" s="7"/>
      <c r="F1" s="8"/>
      <c r="G1" s="9"/>
      <c r="H1" s="9"/>
      <c r="I1" s="9"/>
      <c r="J1" s="9"/>
      <c r="K1" s="8"/>
      <c r="L1" s="8"/>
      <c r="M1" s="8"/>
    </row>
    <row r="2" s="1" customFormat="1" hidden="1" spans="1:13">
      <c r="A2" s="8"/>
      <c r="B2" s="8"/>
      <c r="C2" s="8"/>
      <c r="D2" s="8"/>
      <c r="E2" s="8"/>
      <c r="F2" s="8"/>
      <c r="G2" s="9"/>
      <c r="H2" s="9"/>
      <c r="I2" s="9"/>
      <c r="J2" s="9"/>
      <c r="K2" s="8"/>
      <c r="L2" s="8"/>
      <c r="M2" s="8"/>
    </row>
    <row r="3" s="1" customFormat="1" hidden="1" spans="1:13">
      <c r="A3" s="8"/>
      <c r="B3" s="8"/>
      <c r="C3" s="8"/>
      <c r="D3" s="8"/>
      <c r="E3" s="8"/>
      <c r="F3" s="8"/>
      <c r="G3" s="9"/>
      <c r="H3" s="9"/>
      <c r="I3" s="9"/>
      <c r="J3" s="9"/>
      <c r="K3" s="8"/>
      <c r="L3" s="8"/>
      <c r="M3" s="8"/>
    </row>
    <row r="4" s="2" customFormat="1" ht="21" customHeight="1" spans="2:10">
      <c r="B4" s="10" t="s">
        <v>31</v>
      </c>
      <c r="C4" s="10"/>
      <c r="D4" s="10"/>
      <c r="E4" s="10"/>
      <c r="F4" s="10"/>
      <c r="G4" s="10"/>
      <c r="H4" s="10"/>
      <c r="I4" s="10"/>
      <c r="J4" s="10"/>
    </row>
    <row r="5" s="1" customFormat="1" ht="18.75" customHeight="1" spans="1:13">
      <c r="A5" s="8"/>
      <c r="B5" s="11" t="s">
        <v>32</v>
      </c>
      <c r="C5" s="11"/>
      <c r="D5" s="11"/>
      <c r="E5" s="11"/>
      <c r="F5" s="11"/>
      <c r="G5" s="11"/>
      <c r="H5" s="11"/>
      <c r="I5" s="11"/>
      <c r="J5" s="11"/>
      <c r="K5" s="8"/>
      <c r="L5" s="8"/>
      <c r="M5" s="8"/>
    </row>
    <row r="6" s="1" customFormat="1" ht="15.25" spans="1:13">
      <c r="A6" s="8"/>
      <c r="B6" s="8"/>
      <c r="C6" s="8"/>
      <c r="D6" s="8"/>
      <c r="E6" s="8"/>
      <c r="F6" s="8"/>
      <c r="G6" s="9"/>
      <c r="H6" s="9"/>
      <c r="I6" s="9"/>
      <c r="J6" s="9"/>
      <c r="K6" s="8"/>
      <c r="L6" s="8"/>
      <c r="M6" s="8"/>
    </row>
    <row r="7" s="3" customFormat="1" ht="58.25" spans="1:11">
      <c r="A7" s="12" t="s">
        <v>33</v>
      </c>
      <c r="B7" s="13" t="s">
        <v>34</v>
      </c>
      <c r="C7" s="14"/>
      <c r="D7" s="14" t="s">
        <v>35</v>
      </c>
      <c r="E7" s="14" t="s">
        <v>36</v>
      </c>
      <c r="F7" s="12" t="s">
        <v>37</v>
      </c>
      <c r="G7" s="15" t="s">
        <v>38</v>
      </c>
      <c r="H7" s="15" t="s">
        <v>39</v>
      </c>
      <c r="I7" s="15" t="s">
        <v>40</v>
      </c>
      <c r="J7" s="15" t="s">
        <v>41</v>
      </c>
      <c r="K7" s="15" t="s">
        <v>42</v>
      </c>
    </row>
    <row r="8" s="1" customFormat="1" ht="15" customHeight="1" spans="1:13">
      <c r="A8" s="16">
        <v>1001</v>
      </c>
      <c r="B8" s="17" t="s">
        <v>43</v>
      </c>
      <c r="C8" s="18"/>
      <c r="D8" s="19" t="s">
        <v>44</v>
      </c>
      <c r="E8" s="19" t="s">
        <v>45</v>
      </c>
      <c r="F8" s="16">
        <v>10</v>
      </c>
      <c r="G8" s="20">
        <v>4350000</v>
      </c>
      <c r="H8" s="20">
        <f t="shared" ref="H8:H17" si="0">F8*G8</f>
        <v>43500000</v>
      </c>
      <c r="I8" s="20">
        <f t="shared" ref="I8:I17" si="1">H8*15%</f>
        <v>6525000</v>
      </c>
      <c r="J8" s="20">
        <f t="shared" ref="J8:J17" si="2">H8-I8</f>
        <v>36975000</v>
      </c>
      <c r="K8" s="16">
        <f>RANK(J8,$J$8:$J$17,0)</f>
        <v>6</v>
      </c>
      <c r="L8" s="8"/>
      <c r="M8" s="31"/>
    </row>
    <row r="9" s="1" customFormat="1" ht="15" customHeight="1" spans="1:13">
      <c r="A9" s="21">
        <v>1002</v>
      </c>
      <c r="B9" s="22" t="s">
        <v>46</v>
      </c>
      <c r="C9" s="23"/>
      <c r="D9" s="24" t="s">
        <v>47</v>
      </c>
      <c r="E9" s="24" t="s">
        <v>48</v>
      </c>
      <c r="F9" s="21">
        <v>6</v>
      </c>
      <c r="G9" s="25">
        <v>3575000</v>
      </c>
      <c r="H9" s="20">
        <f t="shared" si="0"/>
        <v>21450000</v>
      </c>
      <c r="I9" s="20">
        <f t="shared" si="1"/>
        <v>3217500</v>
      </c>
      <c r="J9" s="20">
        <f t="shared" si="2"/>
        <v>18232500</v>
      </c>
      <c r="K9" s="16">
        <f t="shared" ref="K8:K17" si="3">RANK(J9,$J$8:$J$17,0)</f>
        <v>8</v>
      </c>
      <c r="L9" s="8"/>
      <c r="M9" s="31"/>
    </row>
    <row r="10" s="1" customFormat="1" ht="15" customHeight="1" spans="1:13">
      <c r="A10" s="21">
        <v>1003</v>
      </c>
      <c r="B10" s="22" t="s">
        <v>49</v>
      </c>
      <c r="C10" s="23"/>
      <c r="D10" s="24" t="s">
        <v>44</v>
      </c>
      <c r="E10" s="24" t="s">
        <v>45</v>
      </c>
      <c r="F10" s="21">
        <v>25</v>
      </c>
      <c r="G10" s="25">
        <v>3150000</v>
      </c>
      <c r="H10" s="20">
        <f t="shared" si="0"/>
        <v>78750000</v>
      </c>
      <c r="I10" s="20">
        <f t="shared" si="1"/>
        <v>11812500</v>
      </c>
      <c r="J10" s="20">
        <f t="shared" si="2"/>
        <v>66937500</v>
      </c>
      <c r="K10" s="16">
        <f t="shared" si="3"/>
        <v>3</v>
      </c>
      <c r="L10" s="8"/>
      <c r="M10" s="31"/>
    </row>
    <row r="11" s="1" customFormat="1" ht="15" customHeight="1" spans="1:13">
      <c r="A11" s="21">
        <v>1004</v>
      </c>
      <c r="B11" s="22" t="s">
        <v>50</v>
      </c>
      <c r="C11" s="23"/>
      <c r="D11" s="24" t="s">
        <v>47</v>
      </c>
      <c r="E11" s="24" t="s">
        <v>48</v>
      </c>
      <c r="F11" s="21">
        <v>15</v>
      </c>
      <c r="G11" s="25">
        <v>3250000</v>
      </c>
      <c r="H11" s="20">
        <f t="shared" si="0"/>
        <v>48750000</v>
      </c>
      <c r="I11" s="20">
        <f t="shared" si="1"/>
        <v>7312500</v>
      </c>
      <c r="J11" s="20">
        <f t="shared" si="2"/>
        <v>41437500</v>
      </c>
      <c r="K11" s="16">
        <f t="shared" si="3"/>
        <v>5</v>
      </c>
      <c r="L11" s="8"/>
      <c r="M11" s="8"/>
    </row>
    <row r="12" s="1" customFormat="1" ht="15" customHeight="1" spans="1:13">
      <c r="A12" s="21">
        <v>1005</v>
      </c>
      <c r="B12" s="22" t="s">
        <v>51</v>
      </c>
      <c r="C12" s="23"/>
      <c r="D12" s="24" t="s">
        <v>47</v>
      </c>
      <c r="E12" s="24" t="s">
        <v>45</v>
      </c>
      <c r="F12" s="21">
        <v>15</v>
      </c>
      <c r="G12" s="25">
        <v>2751000</v>
      </c>
      <c r="H12" s="20">
        <f t="shared" si="0"/>
        <v>41265000</v>
      </c>
      <c r="I12" s="20">
        <f t="shared" si="1"/>
        <v>6189750</v>
      </c>
      <c r="J12" s="20">
        <f t="shared" si="2"/>
        <v>35075250</v>
      </c>
      <c r="K12" s="16">
        <f t="shared" si="3"/>
        <v>7</v>
      </c>
      <c r="L12" s="8"/>
      <c r="M12" s="8"/>
    </row>
    <row r="13" s="1" customFormat="1" ht="15" customHeight="1" spans="1:13">
      <c r="A13" s="21">
        <v>1006</v>
      </c>
      <c r="B13" s="22" t="s">
        <v>52</v>
      </c>
      <c r="C13" s="23"/>
      <c r="D13" s="24" t="s">
        <v>44</v>
      </c>
      <c r="E13" s="24" t="s">
        <v>45</v>
      </c>
      <c r="F13" s="21">
        <v>2</v>
      </c>
      <c r="G13" s="25">
        <v>2560000</v>
      </c>
      <c r="H13" s="20">
        <f t="shared" si="0"/>
        <v>5120000</v>
      </c>
      <c r="I13" s="20">
        <f t="shared" si="1"/>
        <v>768000</v>
      </c>
      <c r="J13" s="20">
        <f t="shared" si="2"/>
        <v>4352000</v>
      </c>
      <c r="K13" s="16">
        <f t="shared" si="3"/>
        <v>10</v>
      </c>
      <c r="L13" s="8"/>
      <c r="M13" s="32"/>
    </row>
    <row r="14" s="1" customFormat="1" ht="15" customHeight="1" spans="1:13">
      <c r="A14" s="21">
        <v>1007</v>
      </c>
      <c r="B14" s="22" t="s">
        <v>53</v>
      </c>
      <c r="C14" s="23"/>
      <c r="D14" s="24" t="s">
        <v>54</v>
      </c>
      <c r="E14" s="24" t="s">
        <v>48</v>
      </c>
      <c r="F14" s="21">
        <v>50</v>
      </c>
      <c r="G14" s="25">
        <v>4150000</v>
      </c>
      <c r="H14" s="20">
        <f t="shared" si="0"/>
        <v>207500000</v>
      </c>
      <c r="I14" s="20">
        <f t="shared" si="1"/>
        <v>31125000</v>
      </c>
      <c r="J14" s="20">
        <f t="shared" si="2"/>
        <v>176375000</v>
      </c>
      <c r="K14" s="16">
        <f t="shared" si="3"/>
        <v>1</v>
      </c>
      <c r="L14" s="8"/>
      <c r="M14" s="32"/>
    </row>
    <row r="15" s="1" customFormat="1" ht="15" customHeight="1" spans="1:13">
      <c r="A15" s="21">
        <v>1008</v>
      </c>
      <c r="B15" s="22" t="s">
        <v>55</v>
      </c>
      <c r="C15" s="23"/>
      <c r="D15" s="24" t="s">
        <v>44</v>
      </c>
      <c r="E15" s="24" t="s">
        <v>48</v>
      </c>
      <c r="F15" s="21">
        <v>10</v>
      </c>
      <c r="G15" s="25">
        <v>5451000</v>
      </c>
      <c r="H15" s="20">
        <f t="shared" si="0"/>
        <v>54510000</v>
      </c>
      <c r="I15" s="20">
        <f t="shared" si="1"/>
        <v>8176500</v>
      </c>
      <c r="J15" s="20">
        <f t="shared" si="2"/>
        <v>46333500</v>
      </c>
      <c r="K15" s="16">
        <f t="shared" si="3"/>
        <v>4</v>
      </c>
      <c r="L15" s="8"/>
      <c r="M15" s="32"/>
    </row>
    <row r="16" s="1" customFormat="1" ht="15" customHeight="1" spans="1:13">
      <c r="A16" s="21">
        <v>1009</v>
      </c>
      <c r="B16" s="22" t="s">
        <v>56</v>
      </c>
      <c r="C16" s="23"/>
      <c r="D16" s="24" t="s">
        <v>44</v>
      </c>
      <c r="E16" s="24" t="s">
        <v>48</v>
      </c>
      <c r="F16" s="21">
        <v>5</v>
      </c>
      <c r="G16" s="25">
        <v>3581000</v>
      </c>
      <c r="H16" s="20">
        <f t="shared" si="0"/>
        <v>17905000</v>
      </c>
      <c r="I16" s="20">
        <f t="shared" si="1"/>
        <v>2685750</v>
      </c>
      <c r="J16" s="20">
        <f t="shared" si="2"/>
        <v>15219250</v>
      </c>
      <c r="K16" s="16">
        <f t="shared" si="3"/>
        <v>9</v>
      </c>
      <c r="L16" s="8"/>
      <c r="M16" s="8"/>
    </row>
    <row r="17" s="1" customFormat="1" ht="15" customHeight="1" spans="1:11">
      <c r="A17" s="21">
        <v>1010</v>
      </c>
      <c r="B17" s="22" t="s">
        <v>57</v>
      </c>
      <c r="C17" s="23"/>
      <c r="D17" s="24" t="s">
        <v>54</v>
      </c>
      <c r="E17" s="24" t="s">
        <v>45</v>
      </c>
      <c r="F17" s="21">
        <v>60</v>
      </c>
      <c r="G17" s="25">
        <v>2415000</v>
      </c>
      <c r="H17" s="20">
        <f t="shared" si="0"/>
        <v>144900000</v>
      </c>
      <c r="I17" s="20">
        <f t="shared" si="1"/>
        <v>21735000</v>
      </c>
      <c r="J17" s="33">
        <f t="shared" si="2"/>
        <v>123165000</v>
      </c>
      <c r="K17" s="34">
        <f t="shared" si="3"/>
        <v>2</v>
      </c>
    </row>
    <row r="18" s="1" customFormat="1" ht="15" customHeight="1" spans="1:11">
      <c r="A18" s="26" t="s">
        <v>58</v>
      </c>
      <c r="B18" s="26"/>
      <c r="C18" s="26"/>
      <c r="D18" s="26"/>
      <c r="E18" s="26"/>
      <c r="F18" s="27"/>
      <c r="G18" s="28">
        <f t="shared" ref="G18:J18" si="4">SUM(G8:G17)</f>
        <v>35233000</v>
      </c>
      <c r="H18" s="28">
        <f t="shared" si="4"/>
        <v>663650000</v>
      </c>
      <c r="I18" s="28">
        <f t="shared" si="4"/>
        <v>99547500</v>
      </c>
      <c r="J18" s="28">
        <f t="shared" si="4"/>
        <v>564102500</v>
      </c>
      <c r="K18" s="8"/>
    </row>
    <row r="19" s="1" customFormat="1" ht="15" customHeight="1" spans="1:11">
      <c r="A19" s="26" t="s">
        <v>59</v>
      </c>
      <c r="B19" s="26"/>
      <c r="C19" s="26"/>
      <c r="D19" s="26"/>
      <c r="E19" s="26"/>
      <c r="F19" s="27"/>
      <c r="G19" s="28">
        <f t="shared" ref="G19:J19" si="5">MAX(G8:G17)</f>
        <v>5451000</v>
      </c>
      <c r="H19" s="28">
        <f t="shared" si="5"/>
        <v>207500000</v>
      </c>
      <c r="I19" s="28">
        <f t="shared" si="5"/>
        <v>31125000</v>
      </c>
      <c r="J19" s="28">
        <f t="shared" si="5"/>
        <v>176375000</v>
      </c>
      <c r="K19" s="8"/>
    </row>
    <row r="20" s="1" customFormat="1" ht="15" customHeight="1" spans="1:11">
      <c r="A20" s="26" t="s">
        <v>60</v>
      </c>
      <c r="B20" s="26"/>
      <c r="C20" s="26"/>
      <c r="D20" s="26"/>
      <c r="E20" s="26"/>
      <c r="F20" s="27"/>
      <c r="G20" s="28">
        <f t="shared" ref="G20:J20" si="6">MIN(G8:G17)</f>
        <v>2415000</v>
      </c>
      <c r="H20" s="28">
        <f t="shared" si="6"/>
        <v>5120000</v>
      </c>
      <c r="I20" s="28">
        <f t="shared" si="6"/>
        <v>768000</v>
      </c>
      <c r="J20" s="28">
        <f t="shared" si="6"/>
        <v>4352000</v>
      </c>
      <c r="K20" s="8"/>
    </row>
    <row r="21" s="1" customFormat="1" ht="15" customHeight="1" spans="1:11">
      <c r="A21" s="26" t="s">
        <v>61</v>
      </c>
      <c r="B21" s="26"/>
      <c r="C21" s="26"/>
      <c r="D21" s="26"/>
      <c r="E21" s="26"/>
      <c r="F21" s="27"/>
      <c r="G21" s="28">
        <f t="shared" ref="G21:J21" si="7">AVERAGE(G8:G17)</f>
        <v>3523300</v>
      </c>
      <c r="H21" s="28">
        <f t="shared" si="7"/>
        <v>66365000</v>
      </c>
      <c r="I21" s="28">
        <f t="shared" si="7"/>
        <v>9954750</v>
      </c>
      <c r="J21" s="28">
        <f t="shared" si="7"/>
        <v>56410250</v>
      </c>
      <c r="K21" s="8"/>
    </row>
    <row r="22" s="1" customFormat="1" ht="13.9" customHeight="1" spans="1:11">
      <c r="A22" s="26" t="s">
        <v>62</v>
      </c>
      <c r="B22" s="26"/>
      <c r="C22" s="26"/>
      <c r="D22" s="26"/>
      <c r="E22" s="26"/>
      <c r="F22" s="27"/>
      <c r="G22" s="28">
        <f>SUMIF($D$8:$D$17,"TOKO A",G8:G17)</f>
        <v>19092000</v>
      </c>
      <c r="H22" s="28">
        <f>SUMIF($D$8:$D$17,"TOKO A",H8:H17)</f>
        <v>199785000</v>
      </c>
      <c r="I22" s="28">
        <f>SUMIF($D$8:$D$17,"TOKO A",I8:I17)</f>
        <v>29967750</v>
      </c>
      <c r="J22" s="28">
        <f>SUMIF($D$8:$D$17,"TOKO A",$J$8:$J$17)</f>
        <v>169817250</v>
      </c>
      <c r="K22" s="35"/>
    </row>
    <row r="23" s="1" customFormat="1" ht="13.9" customHeight="1" spans="1:11">
      <c r="A23" s="26" t="s">
        <v>63</v>
      </c>
      <c r="B23" s="26"/>
      <c r="C23" s="26"/>
      <c r="D23" s="26"/>
      <c r="E23" s="26"/>
      <c r="F23" s="27"/>
      <c r="G23" s="28">
        <f>SUMIFS($G8:$G17,$D8:$D17,"TOKO B",$E8:$E17,"JEMBER")</f>
        <v>2751000</v>
      </c>
      <c r="H23" s="28">
        <f>SUMIFS($G8:$G17,$D8:$D17,"TOKO B",$E8:$E17,"JEMBER")</f>
        <v>2751000</v>
      </c>
      <c r="I23" s="28">
        <f>SUMIFS($G8:$G17,$D8:$D17,"TOKO B",$E8:$E17,"JEMBER")</f>
        <v>2751000</v>
      </c>
      <c r="J23" s="28">
        <f>SUMIFS($G8:$G17,$D8:$D17,"TOKO B",$E8:$E17,"JEMBER")</f>
        <v>2751000</v>
      </c>
      <c r="K23" s="8"/>
    </row>
    <row r="24" s="1" customFormat="1" ht="13.9" customHeight="1" spans="1:11">
      <c r="A24" s="26" t="s">
        <v>64</v>
      </c>
      <c r="B24" s="26"/>
      <c r="C24" s="26"/>
      <c r="D24" s="26"/>
      <c r="E24" s="26"/>
      <c r="F24" s="27"/>
      <c r="G24" s="28"/>
      <c r="H24" s="28"/>
      <c r="I24" s="28"/>
      <c r="J24" s="28"/>
      <c r="K24" s="8">
        <f>COUNTIFS(D8:D17,"TOKO A",E8:E17,"JAKARTA")</f>
        <v>2</v>
      </c>
    </row>
    <row r="28" s="1" customFormat="1" spans="1:11">
      <c r="A28" s="8" t="s">
        <v>65</v>
      </c>
      <c r="B28" s="8"/>
      <c r="C28" s="8"/>
      <c r="D28" s="8"/>
      <c r="E28" s="8"/>
      <c r="F28" s="8"/>
      <c r="G28" s="9"/>
      <c r="H28" s="9"/>
      <c r="I28" s="9"/>
      <c r="J28" s="9"/>
      <c r="K28" s="8"/>
    </row>
    <row r="29" s="1" customFormat="1" spans="1:11">
      <c r="A29" s="29" t="s">
        <v>66</v>
      </c>
      <c r="B29" s="8"/>
      <c r="C29" s="8"/>
      <c r="D29" s="8"/>
      <c r="E29" s="8"/>
      <c r="F29" s="8"/>
      <c r="G29" s="9"/>
      <c r="H29" s="9"/>
      <c r="I29" s="9"/>
      <c r="J29" s="9"/>
      <c r="K29" s="8"/>
    </row>
    <row r="30" s="1" customFormat="1" spans="1:11">
      <c r="A30" s="8" t="s">
        <v>67</v>
      </c>
      <c r="B30" s="8"/>
      <c r="C30" s="8"/>
      <c r="D30" s="8"/>
      <c r="E30" s="8"/>
      <c r="F30" s="8"/>
      <c r="G30" s="9"/>
      <c r="H30" s="9"/>
      <c r="I30" s="9"/>
      <c r="J30" s="9"/>
      <c r="K30" s="8"/>
    </row>
    <row r="31" s="1" customFormat="1" spans="1:11">
      <c r="A31" s="8" t="s">
        <v>68</v>
      </c>
      <c r="B31" s="8"/>
      <c r="C31" s="8"/>
      <c r="D31" s="8"/>
      <c r="E31" s="8"/>
      <c r="F31" s="8"/>
      <c r="G31" s="9"/>
      <c r="H31" s="9"/>
      <c r="I31" s="9"/>
      <c r="J31" s="9"/>
      <c r="K31" s="8"/>
    </row>
    <row r="32" s="1" customFormat="1" hidden="1" spans="1:11">
      <c r="A32" s="8"/>
      <c r="B32" s="8"/>
      <c r="C32" s="8"/>
      <c r="D32" s="8"/>
      <c r="E32" s="8"/>
      <c r="F32" s="8"/>
      <c r="G32" s="9"/>
      <c r="H32" s="9"/>
      <c r="I32" s="9"/>
      <c r="J32" s="9"/>
      <c r="K32" s="8"/>
    </row>
    <row r="33" s="4" customFormat="1" ht="13" spans="1:10">
      <c r="A33" s="30" t="s">
        <v>69</v>
      </c>
      <c r="B33" s="30"/>
      <c r="C33" s="30"/>
      <c r="D33" s="30"/>
      <c r="E33" s="30"/>
      <c r="F33" s="30"/>
      <c r="G33" s="30"/>
      <c r="H33" s="30"/>
      <c r="I33" s="30"/>
      <c r="J33" s="30"/>
    </row>
    <row r="34" s="1" customFormat="1" spans="1:10">
      <c r="A34" s="8"/>
      <c r="B34" s="8"/>
      <c r="C34" s="8"/>
      <c r="D34" s="8"/>
      <c r="E34" s="8"/>
      <c r="F34" s="8"/>
      <c r="G34" s="9"/>
      <c r="H34" s="9"/>
      <c r="I34" s="9"/>
      <c r="J34" s="9"/>
    </row>
  </sheetData>
  <mergeCells count="20">
    <mergeCell ref="A1:B1"/>
    <mergeCell ref="B4:J4"/>
    <mergeCell ref="B5:J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C18"/>
    <mergeCell ref="A19:C19"/>
    <mergeCell ref="A20:C20"/>
    <mergeCell ref="A21:C21"/>
    <mergeCell ref="A22:C22"/>
    <mergeCell ref="A33:J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Payroll &amp; Salary Calculation</vt:lpstr>
      <vt:lpstr>Data Penjualan &amp; Perhitungan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SISIBOOK</dc:creator>
  <cp:lastModifiedBy>Bayu Ali</cp:lastModifiedBy>
  <dcterms:created xsi:type="dcterms:W3CDTF">2026-09-15T16:21:00Z</dcterms:created>
  <dcterms:modified xsi:type="dcterms:W3CDTF">2026-09-16T02:48:37Z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C69610D7A24448C485DF29D5314A7F7D_11</vt:lpwstr>
  </property>
  <property fmtid="{D5CDD505-2E9C-101B-9397-08002B2CF9AE}" pid="3" name="KSOProductBuildVer">
    <vt:lpwstr>2057-12.2.0.23206</vt:lpwstr>
  </property>
</Properties>
</file>