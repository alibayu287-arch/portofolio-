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activeTab="1"/>
  </bookViews>
  <sheets>
    <sheet name="Date &amp; Age Processing" sheetId="1" r:id="rId1"/>
    <sheet name="Personal Data Extraction " sheetId="2" r:id="rId2"/>
    <sheet name="Employe Code Process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<sst xmlns="http://schemas.openxmlformats.org/spreadsheetml/2006/main" count="114" uniqueCount="112">
  <si>
    <t>no</t>
  </si>
  <si>
    <t>Nama</t>
  </si>
  <si>
    <t>Tanggal Lahir</t>
  </si>
  <si>
    <t>Tanggal Masuk</t>
  </si>
  <si>
    <t>Tahun Lahir</t>
  </si>
  <si>
    <t>Bulan Lahir</t>
  </si>
  <si>
    <t>Umur(Tahun)</t>
  </si>
  <si>
    <t>Umur(Bulan)</t>
  </si>
  <si>
    <t>Umur (Hari)</t>
  </si>
  <si>
    <t>Masa Kerja (Tahun)</t>
  </si>
  <si>
    <t>Masa Kerja (Bulan)</t>
  </si>
  <si>
    <t>Masa Kerja (Hari)</t>
  </si>
  <si>
    <t>Andi Pratama</t>
  </si>
  <si>
    <t>Budi Santoso</t>
  </si>
  <si>
    <t>Citra Lestari</t>
  </si>
  <si>
    <t>Dinda Ayu</t>
  </si>
  <si>
    <t>Eka Saputra</t>
  </si>
  <si>
    <t>Farhan Maulana</t>
  </si>
  <si>
    <t>Gina Permata</t>
  </si>
  <si>
    <t>Hendra Wijaya</t>
  </si>
  <si>
    <t>Intan Sari</t>
  </si>
  <si>
    <t>Sari Firmansyah</t>
  </si>
  <si>
    <t>DAFTAR PEGAWAI BULAN JANUARI 2001</t>
  </si>
  <si>
    <t>PT. SUKSES SEJAHTERA</t>
  </si>
  <si>
    <t>NO</t>
  </si>
  <si>
    <t>NIP</t>
  </si>
  <si>
    <t>NAMA PEGAWAI</t>
  </si>
  <si>
    <t>JENIS KELAMIN</t>
  </si>
  <si>
    <t>AGAMA</t>
  </si>
  <si>
    <t>STATUS</t>
  </si>
  <si>
    <t>PENDIDIKAN</t>
  </si>
  <si>
    <t>POSISI BAGIAN</t>
  </si>
  <si>
    <t>MULAI KERJA</t>
  </si>
  <si>
    <t>MASA KERJA</t>
  </si>
  <si>
    <t>125.11122.91</t>
  </si>
  <si>
    <t>Landy Sahlevi</t>
  </si>
  <si>
    <t>112.12211.93</t>
  </si>
  <si>
    <t>Frengky Simbolan</t>
  </si>
  <si>
    <t>105.21211.95</t>
  </si>
  <si>
    <t>Sifa Yahya</t>
  </si>
  <si>
    <t>110.13133.90</t>
  </si>
  <si>
    <t>Jhon Yuko</t>
  </si>
  <si>
    <t>115.21133.97</t>
  </si>
  <si>
    <t>Maria Yasir</t>
  </si>
  <si>
    <t>100.14232.96</t>
  </si>
  <si>
    <t>I Made Dayang</t>
  </si>
  <si>
    <t>101.21122.98</t>
  </si>
  <si>
    <t>Andraini</t>
  </si>
  <si>
    <t>120.25233.94</t>
  </si>
  <si>
    <t>Yohan Kwik</t>
  </si>
  <si>
    <t>128.11133.92</t>
  </si>
  <si>
    <t>Adrian Kadama</t>
  </si>
  <si>
    <t>128.11223.99</t>
  </si>
  <si>
    <t>Efrialdy Jidani</t>
  </si>
  <si>
    <t>LAPORAN GAJI KARYAWAN</t>
  </si>
  <si>
    <t>PT. BERDIKARI SENTOSA</t>
  </si>
  <si>
    <t>No.</t>
  </si>
  <si>
    <t>Nomor Induk Karyawan</t>
  </si>
  <si>
    <t>Nama Karyawan</t>
  </si>
  <si>
    <t>Bagian</t>
  </si>
  <si>
    <t>Lama Kerja (Tahun)</t>
  </si>
  <si>
    <t>Status Perkawinan</t>
  </si>
  <si>
    <t>Jumlah Anak</t>
  </si>
  <si>
    <t>Gaji Pokok</t>
  </si>
  <si>
    <t>Tunjangan Fungsional</t>
  </si>
  <si>
    <t>Tunjangan Anak</t>
  </si>
  <si>
    <t xml:space="preserve">Potongan </t>
  </si>
  <si>
    <t>Total Gaji</t>
  </si>
  <si>
    <t>K-K02</t>
  </si>
  <si>
    <t>Alfian</t>
  </si>
  <si>
    <t>D-K03</t>
  </si>
  <si>
    <t>Darmawan</t>
  </si>
  <si>
    <t>P-J04</t>
  </si>
  <si>
    <t>Indrawati</t>
  </si>
  <si>
    <t>A-D04</t>
  </si>
  <si>
    <t>Hadiyanto</t>
  </si>
  <si>
    <t>K-B00</t>
  </si>
  <si>
    <t>Riana</t>
  </si>
  <si>
    <t>K-K05</t>
  </si>
  <si>
    <t>Mayangsari</t>
  </si>
  <si>
    <t>A-B00</t>
  </si>
  <si>
    <t>Kumala</t>
  </si>
  <si>
    <t>A-D02</t>
  </si>
  <si>
    <t>Gunawan</t>
  </si>
  <si>
    <t>P-D00</t>
  </si>
  <si>
    <t>Rahmad</t>
  </si>
  <si>
    <t>Baskoro</t>
  </si>
  <si>
    <t>Total Gaji Seluruhnya</t>
  </si>
  <si>
    <t>Rata-rata Gaji Seluruhnya</t>
  </si>
  <si>
    <t>Ketentuan :</t>
  </si>
  <si>
    <t>1. Nomor Induk Karyawan terdiri dari : A-XYY dimana :</t>
  </si>
  <si>
    <t>A : Bagian dari karyawan yang terdiri dari :</t>
  </si>
  <si>
    <t>K = Keuangan</t>
  </si>
  <si>
    <t>D = Direksi</t>
  </si>
  <si>
    <t>P = Personalia</t>
  </si>
  <si>
    <t>A = Administrasi</t>
  </si>
  <si>
    <t>X : Status perkawinan karyawan, yang terdiri dari :</t>
  </si>
  <si>
    <t>K = Kawin</t>
  </si>
  <si>
    <t>J = Janda</t>
  </si>
  <si>
    <t>D = Duda</t>
  </si>
  <si>
    <t>B = Belum</t>
  </si>
  <si>
    <t>Y : Jumlah anak (Digit terakhir pada Nomor Induk)</t>
  </si>
  <si>
    <t>2. Tunjangan fungsional diperoleh dengan ketentuan :</t>
  </si>
  <si>
    <t>Bagian Direksi : Rp 350.000</t>
  </si>
  <si>
    <t>Bagian Personalia : Rp 250.000</t>
  </si>
  <si>
    <t>Bagian Keangan : Rp 150.000</t>
  </si>
  <si>
    <t>3. Tunjangan anak diberikan pada seluruh karyawan yang mempunyai anak, dengan ketentuan :</t>
  </si>
  <si>
    <t>Tunjangan sebesar 5% dari Gaji Pokok (Maksimal 3 anak) dikali Jumlah anak</t>
  </si>
  <si>
    <t>Apabila Jumlah anak lebih dari 3 maka dapat tunjangan sebesar 8% dari Gaji Pokok dikali jumlah anak</t>
  </si>
  <si>
    <t>4. Potongan hanya dikenakan pada karyawan yang mendapat tunjangan anak lebih dari Rp 30.000 sebesar 2% dari tunjangan anak yang diterima</t>
  </si>
  <si>
    <t>5. Hitung total gaji yang diterima untuk setiap karyawan.</t>
  </si>
  <si>
    <t>6. Hitung total gaji dan rata - rata gaji untuk seluruh karyawan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</si>
</sst>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&quot;Rp&quot;* #,##0_-;\-&quot;Rp&quot;* #,##0_-;_-&quot;Rp&quot;* &quot;-&quot;_-;_-@_-"/>
  </numFmts>
  <fonts count="26">
    <font>
      <sz val="11"/>
      <color theme="1"/>
      <name val="Calibri"/>
      <charset val="134"/>
      <scheme val="minor"/>
    </font>
    <font>
      <sz val="13"/>
      <name val="Book Antiqua"/>
      <charset val="134"/>
    </font>
    <font>
      <b/>
      <sz val="13"/>
      <name val="Book Antiqua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8496B0"/>
        <bgColor rgb="FF8496B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41" fontId="25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1" fillId="0" borderId="0" xfId="49" applyFont="1"/>
    <xf numFmtId="0" fontId="2" fillId="0" borderId="0" xfId="49" applyFont="1" applyAlignment="1">
      <alignment horizontal="centerContinuous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justify"/>
    </xf>
    <xf numFmtId="0" fontId="1" fillId="0" borderId="2" xfId="49" applyFont="1" applyBorder="1" applyAlignment="1" applyProtection="1">
      <alignment horizontal="center" vertical="justify"/>
      <protection locked="0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/>
    </xf>
    <xf numFmtId="0" fontId="1" fillId="0" borderId="4" xfId="49" applyFont="1" applyBorder="1"/>
    <xf numFmtId="1" fontId="1" fillId="0" borderId="4" xfId="49" applyNumberFormat="1" applyFont="1" applyBorder="1" applyAlignment="1">
      <alignment horizontal="center"/>
    </xf>
    <xf numFmtId="0" fontId="1" fillId="0" borderId="5" xfId="49" applyFont="1" applyBorder="1" applyAlignment="1">
      <alignment horizontal="center"/>
    </xf>
    <xf numFmtId="0" fontId="1" fillId="0" borderId="6" xfId="49" applyFont="1" applyBorder="1"/>
    <xf numFmtId="0" fontId="1" fillId="0" borderId="7" xfId="49" applyFont="1" applyBorder="1" applyAlignment="1">
      <alignment horizontal="center"/>
    </xf>
    <xf numFmtId="0" fontId="1" fillId="0" borderId="8" xfId="49" applyFont="1" applyBorder="1"/>
    <xf numFmtId="0" fontId="1" fillId="0" borderId="9" xfId="49" applyFont="1" applyBorder="1" applyAlignment="1">
      <alignment horizontal="left"/>
    </xf>
    <xf numFmtId="0" fontId="1" fillId="0" borderId="10" xfId="49" applyFont="1" applyBorder="1" applyAlignment="1">
      <alignment horizontal="left"/>
    </xf>
    <xf numFmtId="0" fontId="1" fillId="0" borderId="10" xfId="49" applyFont="1" applyBorder="1"/>
    <xf numFmtId="0" fontId="1" fillId="0" borderId="11" xfId="49" applyFont="1" applyBorder="1" applyAlignment="1">
      <alignment horizontal="left"/>
    </xf>
    <xf numFmtId="0" fontId="1" fillId="0" borderId="12" xfId="49" applyFont="1" applyBorder="1" applyAlignment="1">
      <alignment horizontal="left"/>
    </xf>
    <xf numFmtId="0" fontId="1" fillId="0" borderId="12" xfId="49" applyFont="1" applyBorder="1"/>
    <xf numFmtId="0" fontId="1" fillId="0" borderId="13" xfId="49" applyFont="1" applyBorder="1" applyAlignment="1">
      <alignment horizontal="center" vertical="center"/>
    </xf>
    <xf numFmtId="41" fontId="1" fillId="0" borderId="4" xfId="50" applyFont="1" applyBorder="1"/>
    <xf numFmtId="180" fontId="1" fillId="0" borderId="4" xfId="49" applyNumberFormat="1" applyFont="1" applyBorder="1" applyAlignment="1">
      <alignment horizontal="left"/>
    </xf>
    <xf numFmtId="41" fontId="1" fillId="0" borderId="4" xfId="49" applyNumberFormat="1" applyFont="1" applyBorder="1"/>
    <xf numFmtId="41" fontId="1" fillId="0" borderId="14" xfId="49" applyNumberFormat="1" applyFont="1" applyBorder="1"/>
    <xf numFmtId="41" fontId="1" fillId="0" borderId="0" xfId="49" applyNumberFormat="1" applyFont="1"/>
    <xf numFmtId="41" fontId="1" fillId="0" borderId="15" xfId="49" applyNumberFormat="1" applyFont="1" applyBorder="1"/>
    <xf numFmtId="41" fontId="1" fillId="0" borderId="16" xfId="49" applyNumberFormat="1" applyFont="1" applyBorder="1"/>
    <xf numFmtId="0" fontId="0" fillId="0" borderId="0" xfId="0" applyFont="1" applyFill="1" applyAlignment="1"/>
    <xf numFmtId="0" fontId="3" fillId="0" borderId="0" xfId="0" applyFont="1" applyFill="1" applyAlignment="1"/>
    <xf numFmtId="0" fontId="4" fillId="2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58" fontId="4" fillId="0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Comma [0]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40</xdr:row>
      <xdr:rowOff>215899</xdr:rowOff>
    </xdr:from>
    <xdr:to>
      <xdr:col>13</xdr:col>
      <xdr:colOff>241300</xdr:colOff>
      <xdr:row>59</xdr:row>
      <xdr:rowOff>78739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9527540"/>
          <a:ext cx="13455650" cy="396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selection activeCell="J2" sqref="J2"/>
    </sheetView>
  </sheetViews>
  <sheetFormatPr defaultColWidth="14.4545454545455" defaultRowHeight="15" customHeight="1"/>
  <cols>
    <col min="1" max="1" width="3.81818181818182" style="28" customWidth="1"/>
    <col min="2" max="2" width="18.0909090909091" style="28" customWidth="1"/>
    <col min="3" max="3" width="13.7272727272727" style="28" customWidth="1"/>
    <col min="4" max="4" width="14" style="28" customWidth="1"/>
    <col min="5" max="5" width="13.8181818181818" style="28" customWidth="1"/>
    <col min="6" max="6" width="13.7272727272727" style="28" customWidth="1"/>
    <col min="7" max="7" width="14.0909090909091" style="28" customWidth="1"/>
    <col min="8" max="8" width="14.7272727272727" style="28" customWidth="1"/>
    <col min="9" max="9" width="12.4545454545455" style="28" customWidth="1"/>
    <col min="10" max="10" width="12.5454545454545" style="28" customWidth="1"/>
    <col min="11" max="26" width="8.72727272727273" style="28" customWidth="1"/>
    <col min="27" max="16384" width="14.4545454545455" style="28"/>
  </cols>
  <sheetData>
    <row r="1" s="28" customFormat="1" ht="43.5" spans="1:1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2</v>
      </c>
      <c r="H1" s="35" t="s">
        <v>6</v>
      </c>
      <c r="I1" s="35" t="s">
        <v>7</v>
      </c>
      <c r="J1" s="35" t="s">
        <v>8</v>
      </c>
      <c r="K1" s="37" t="s">
        <v>9</v>
      </c>
      <c r="L1" s="37" t="s">
        <v>10</v>
      </c>
      <c r="M1" s="37" t="s">
        <v>11</v>
      </c>
    </row>
    <row r="2" s="28" customFormat="1" ht="14.5" spans="1:13">
      <c r="A2" s="31"/>
      <c r="B2" s="32" t="s">
        <v>12</v>
      </c>
      <c r="C2" s="36">
        <v>35869</v>
      </c>
      <c r="D2" s="36">
        <v>45108</v>
      </c>
      <c r="E2" s="31">
        <f t="shared" ref="E2:E11" si="0">YEAR(C2)</f>
        <v>1998</v>
      </c>
      <c r="F2" s="31">
        <f t="shared" ref="F2:F11" si="1">MONTH(C2)</f>
        <v>3</v>
      </c>
      <c r="G2" s="31">
        <f t="shared" ref="G2:G11" si="2">DAY(C2)</f>
        <v>15</v>
      </c>
      <c r="H2" s="31">
        <f ca="1" t="shared" ref="H2:H11" si="3">DATEDIF(C2,TODAY(),"Y")</f>
        <v>28</v>
      </c>
      <c r="I2" s="31">
        <f ca="1" t="shared" ref="I2:I11" si="4">DATEDIF(C2,TODAY(),"M")</f>
        <v>342</v>
      </c>
      <c r="J2" s="31">
        <f ca="1">DATEDIF(C2,TODAY(),"D")</f>
        <v>10412</v>
      </c>
      <c r="K2" s="31">
        <f ca="1" t="shared" ref="K2:K11" si="5">DATEDIF(D2,TODAY(),"Y")</f>
        <v>3</v>
      </c>
      <c r="L2" s="31">
        <f ca="1" t="shared" ref="L2:L11" si="6">DATEDIF(D2,TODAY(),"M")</f>
        <v>38</v>
      </c>
      <c r="M2" s="31">
        <f ca="1" t="shared" ref="M2:M11" si="7">DATEDIF(D2,TODAY(),"D")</f>
        <v>1173</v>
      </c>
    </row>
    <row r="3" s="28" customFormat="1" ht="14.5" spans="1:13">
      <c r="A3" s="31"/>
      <c r="B3" s="32" t="s">
        <v>13</v>
      </c>
      <c r="C3" s="36">
        <v>35031</v>
      </c>
      <c r="D3" s="36">
        <v>44576</v>
      </c>
      <c r="E3" s="31">
        <f t="shared" si="0"/>
        <v>1995</v>
      </c>
      <c r="F3" s="31">
        <f t="shared" si="1"/>
        <v>11</v>
      </c>
      <c r="G3" s="31">
        <f t="shared" si="2"/>
        <v>28</v>
      </c>
      <c r="H3" s="31">
        <f ca="1" t="shared" si="3"/>
        <v>30</v>
      </c>
      <c r="I3" s="31">
        <f ca="1" t="shared" si="4"/>
        <v>369</v>
      </c>
      <c r="J3" s="31">
        <f ca="1" t="shared" ref="J2:J11" si="8">DATEDIF(C3,TODAY(),"D")</f>
        <v>11250</v>
      </c>
      <c r="K3" s="31">
        <f ca="1" t="shared" si="5"/>
        <v>4</v>
      </c>
      <c r="L3" s="31">
        <f ca="1" t="shared" si="6"/>
        <v>56</v>
      </c>
      <c r="M3" s="31">
        <f ca="1" t="shared" si="7"/>
        <v>1705</v>
      </c>
    </row>
    <row r="4" s="28" customFormat="1" ht="14.5" spans="1:13">
      <c r="A4" s="31"/>
      <c r="B4" s="32" t="s">
        <v>14</v>
      </c>
      <c r="C4" s="36">
        <v>36746</v>
      </c>
      <c r="D4" s="36">
        <v>45555</v>
      </c>
      <c r="E4" s="31">
        <f t="shared" si="0"/>
        <v>2000</v>
      </c>
      <c r="F4" s="31">
        <f t="shared" si="1"/>
        <v>8</v>
      </c>
      <c r="G4" s="31">
        <f t="shared" si="2"/>
        <v>8</v>
      </c>
      <c r="H4" s="31">
        <f ca="1" t="shared" si="3"/>
        <v>26</v>
      </c>
      <c r="I4" s="31">
        <f ca="1" t="shared" si="4"/>
        <v>313</v>
      </c>
      <c r="J4" s="31">
        <f ca="1" t="shared" si="8"/>
        <v>9535</v>
      </c>
      <c r="K4" s="31">
        <f ca="1" t="shared" si="5"/>
        <v>1</v>
      </c>
      <c r="L4" s="31">
        <f ca="1" t="shared" si="6"/>
        <v>23</v>
      </c>
      <c r="M4" s="31">
        <f ca="1" t="shared" si="7"/>
        <v>726</v>
      </c>
    </row>
    <row r="5" s="28" customFormat="1" ht="14.5" spans="1:13">
      <c r="A5" s="31"/>
      <c r="B5" s="32" t="s">
        <v>15</v>
      </c>
      <c r="C5" s="36">
        <v>35460</v>
      </c>
      <c r="D5" s="36">
        <v>44328</v>
      </c>
      <c r="E5" s="31">
        <f t="shared" si="0"/>
        <v>1997</v>
      </c>
      <c r="F5" s="31">
        <f t="shared" si="1"/>
        <v>1</v>
      </c>
      <c r="G5" s="31">
        <f t="shared" si="2"/>
        <v>30</v>
      </c>
      <c r="H5" s="31">
        <f ca="1" t="shared" si="3"/>
        <v>29</v>
      </c>
      <c r="I5" s="31">
        <f ca="1" t="shared" si="4"/>
        <v>355</v>
      </c>
      <c r="J5" s="31">
        <f ca="1" t="shared" si="8"/>
        <v>10821</v>
      </c>
      <c r="K5" s="31">
        <f ca="1" t="shared" si="5"/>
        <v>5</v>
      </c>
      <c r="L5" s="31">
        <f ca="1" t="shared" si="6"/>
        <v>64</v>
      </c>
      <c r="M5" s="31">
        <f ca="1" t="shared" si="7"/>
        <v>1953</v>
      </c>
    </row>
    <row r="6" s="28" customFormat="1" ht="14.5" spans="1:13">
      <c r="A6" s="31"/>
      <c r="B6" s="32" t="s">
        <v>16</v>
      </c>
      <c r="C6" s="36">
        <v>35416</v>
      </c>
      <c r="D6" s="36">
        <v>45691</v>
      </c>
      <c r="E6" s="31">
        <f t="shared" si="0"/>
        <v>1996</v>
      </c>
      <c r="F6" s="31">
        <f t="shared" si="1"/>
        <v>12</v>
      </c>
      <c r="G6" s="31">
        <f t="shared" si="2"/>
        <v>17</v>
      </c>
      <c r="H6" s="31">
        <f ca="1" t="shared" si="3"/>
        <v>29</v>
      </c>
      <c r="I6" s="31">
        <f ca="1" t="shared" si="4"/>
        <v>356</v>
      </c>
      <c r="J6" s="31">
        <f ca="1" t="shared" si="8"/>
        <v>10865</v>
      </c>
      <c r="K6" s="31">
        <f ca="1" t="shared" si="5"/>
        <v>1</v>
      </c>
      <c r="L6" s="31">
        <f ca="1" t="shared" si="6"/>
        <v>19</v>
      </c>
      <c r="M6" s="31">
        <f ca="1" t="shared" si="7"/>
        <v>590</v>
      </c>
    </row>
    <row r="7" s="28" customFormat="1" ht="14.5" spans="1:13">
      <c r="A7" s="31"/>
      <c r="B7" s="32" t="s">
        <v>17</v>
      </c>
      <c r="C7" s="36">
        <v>35221</v>
      </c>
      <c r="D7" s="36">
        <v>44114</v>
      </c>
      <c r="E7" s="31">
        <f t="shared" si="0"/>
        <v>1996</v>
      </c>
      <c r="F7" s="31">
        <f t="shared" si="1"/>
        <v>6</v>
      </c>
      <c r="G7" s="31">
        <f t="shared" si="2"/>
        <v>5</v>
      </c>
      <c r="H7" s="31">
        <f ca="1" t="shared" si="3"/>
        <v>30</v>
      </c>
      <c r="I7" s="31">
        <f ca="1" t="shared" si="4"/>
        <v>363</v>
      </c>
      <c r="J7" s="31">
        <f ca="1" t="shared" si="8"/>
        <v>11060</v>
      </c>
      <c r="K7" s="31">
        <f ca="1" t="shared" si="5"/>
        <v>5</v>
      </c>
      <c r="L7" s="31">
        <f ca="1" t="shared" si="6"/>
        <v>71</v>
      </c>
      <c r="M7" s="31">
        <f ca="1" t="shared" si="7"/>
        <v>2167</v>
      </c>
    </row>
    <row r="8" s="28" customFormat="1" ht="14.5" spans="1:13">
      <c r="A8" s="31"/>
      <c r="B8" s="32" t="s">
        <v>18</v>
      </c>
      <c r="C8" s="36">
        <v>37155</v>
      </c>
      <c r="D8" s="36">
        <v>45522</v>
      </c>
      <c r="E8" s="31">
        <f t="shared" si="0"/>
        <v>2001</v>
      </c>
      <c r="F8" s="31">
        <f t="shared" si="1"/>
        <v>9</v>
      </c>
      <c r="G8" s="31">
        <f t="shared" si="2"/>
        <v>21</v>
      </c>
      <c r="H8" s="31">
        <f ca="1" t="shared" si="3"/>
        <v>24</v>
      </c>
      <c r="I8" s="31">
        <f ca="1" t="shared" si="4"/>
        <v>299</v>
      </c>
      <c r="J8" s="31">
        <f ca="1" t="shared" si="8"/>
        <v>9126</v>
      </c>
      <c r="K8" s="31">
        <f ca="1" t="shared" si="5"/>
        <v>2</v>
      </c>
      <c r="L8" s="31">
        <f ca="1" t="shared" si="6"/>
        <v>24</v>
      </c>
      <c r="M8" s="31">
        <f ca="1" t="shared" si="7"/>
        <v>759</v>
      </c>
    </row>
    <row r="9" s="28" customFormat="1" ht="14.5" spans="1:13">
      <c r="A9" s="31"/>
      <c r="B9" s="32" t="s">
        <v>19</v>
      </c>
      <c r="C9" s="36">
        <v>34436</v>
      </c>
      <c r="D9" s="36">
        <v>43794</v>
      </c>
      <c r="E9" s="31">
        <f t="shared" si="0"/>
        <v>1994</v>
      </c>
      <c r="F9" s="31">
        <f t="shared" si="1"/>
        <v>4</v>
      </c>
      <c r="G9" s="31">
        <f t="shared" si="2"/>
        <v>12</v>
      </c>
      <c r="H9" s="31">
        <f ca="1" t="shared" si="3"/>
        <v>32</v>
      </c>
      <c r="I9" s="31">
        <f ca="1" t="shared" si="4"/>
        <v>389</v>
      </c>
      <c r="J9" s="31">
        <f ca="1" t="shared" si="8"/>
        <v>11845</v>
      </c>
      <c r="K9" s="31">
        <f ca="1" t="shared" si="5"/>
        <v>6</v>
      </c>
      <c r="L9" s="31">
        <f ca="1" t="shared" si="6"/>
        <v>81</v>
      </c>
      <c r="M9" s="31">
        <f ca="1" t="shared" si="7"/>
        <v>2487</v>
      </c>
    </row>
    <row r="10" s="28" customFormat="1" ht="14.5" spans="1:13">
      <c r="A10" s="31"/>
      <c r="B10" s="32" t="s">
        <v>20</v>
      </c>
      <c r="C10" s="36">
        <v>36003</v>
      </c>
      <c r="D10" s="36">
        <v>44992</v>
      </c>
      <c r="E10" s="31">
        <f t="shared" si="0"/>
        <v>1998</v>
      </c>
      <c r="F10" s="31">
        <f t="shared" si="1"/>
        <v>7</v>
      </c>
      <c r="G10" s="31">
        <f t="shared" si="2"/>
        <v>27</v>
      </c>
      <c r="H10" s="31">
        <f ca="1" t="shared" si="3"/>
        <v>28</v>
      </c>
      <c r="I10" s="31">
        <f ca="1" t="shared" si="4"/>
        <v>337</v>
      </c>
      <c r="J10" s="31">
        <f ca="1" t="shared" si="8"/>
        <v>10278</v>
      </c>
      <c r="K10" s="31">
        <f ca="1" t="shared" si="5"/>
        <v>3</v>
      </c>
      <c r="L10" s="31">
        <f ca="1" t="shared" si="6"/>
        <v>42</v>
      </c>
      <c r="M10" s="31">
        <f ca="1" t="shared" si="7"/>
        <v>1289</v>
      </c>
    </row>
    <row r="11" s="28" customFormat="1" ht="14.5" spans="1:13">
      <c r="A11" s="31"/>
      <c r="B11" s="32" t="s">
        <v>21</v>
      </c>
      <c r="C11" s="36">
        <v>34009</v>
      </c>
      <c r="D11" s="36">
        <v>43265</v>
      </c>
      <c r="E11" s="31">
        <f t="shared" si="0"/>
        <v>1993</v>
      </c>
      <c r="F11" s="31">
        <f t="shared" si="1"/>
        <v>2</v>
      </c>
      <c r="G11" s="31">
        <f t="shared" si="2"/>
        <v>9</v>
      </c>
      <c r="H11" s="31">
        <f ca="1" t="shared" si="3"/>
        <v>33</v>
      </c>
      <c r="I11" s="31">
        <f ca="1" t="shared" si="4"/>
        <v>403</v>
      </c>
      <c r="J11" s="31">
        <f ca="1" t="shared" si="8"/>
        <v>12272</v>
      </c>
      <c r="K11" s="31">
        <f ca="1" t="shared" si="5"/>
        <v>8</v>
      </c>
      <c r="L11" s="31">
        <f ca="1" t="shared" si="6"/>
        <v>99</v>
      </c>
      <c r="M11" s="31">
        <f ca="1" t="shared" si="7"/>
        <v>3016</v>
      </c>
    </row>
    <row r="21" s="28" customFormat="1" ht="15.75" customHeight="1"/>
    <row r="22" s="28" customFormat="1" ht="15.75" customHeight="1"/>
    <row r="23" s="28" customFormat="1" ht="15.75" customHeight="1"/>
    <row r="24" s="28" customFormat="1" ht="15.75" customHeight="1"/>
    <row r="25" s="28" customFormat="1" ht="15.75" customHeight="1"/>
    <row r="26" s="28" customFormat="1" ht="15.75" customHeight="1"/>
    <row r="27" s="28" customFormat="1" ht="15.75" customHeight="1"/>
    <row r="28" s="28" customFormat="1" ht="15.75" customHeight="1"/>
    <row r="29" s="28" customFormat="1" ht="15.75" customHeight="1"/>
    <row r="30" s="28" customFormat="1" ht="15.75" customHeight="1"/>
    <row r="31" s="28" customFormat="1" ht="15.75" customHeight="1"/>
    <row r="32" s="28" customFormat="1" ht="15.75" customHeight="1"/>
    <row r="33" s="28" customFormat="1" ht="15.75" customHeight="1"/>
    <row r="34" s="28" customFormat="1" ht="15.75" customHeight="1"/>
    <row r="35" s="28" customFormat="1" ht="15.75" customHeight="1"/>
    <row r="36" s="28" customFormat="1" ht="15.75" customHeight="1"/>
    <row r="37" s="28" customFormat="1" ht="15.75" customHeight="1"/>
    <row r="38" s="28" customFormat="1" ht="15.75" customHeight="1"/>
    <row r="39" s="28" customFormat="1" ht="15.75" customHeight="1"/>
    <row r="40" s="28" customFormat="1" ht="15.75" customHeight="1"/>
    <row r="41" s="28" customFormat="1" ht="15.75" customHeight="1"/>
    <row r="42" s="28" customFormat="1" ht="15.75" customHeight="1"/>
    <row r="43" s="28" customFormat="1" ht="15.75" customHeight="1"/>
    <row r="44" s="28" customFormat="1" ht="15.75" customHeight="1"/>
    <row r="45" s="28" customFormat="1" ht="15.75" customHeight="1"/>
    <row r="46" s="28" customFormat="1" ht="15.75" customHeight="1"/>
    <row r="47" s="28" customFormat="1" ht="15.75" customHeight="1"/>
    <row r="48" s="28" customFormat="1" ht="15.75" customHeight="1"/>
    <row r="49" s="28" customFormat="1" ht="15.75" customHeight="1"/>
    <row r="50" s="28" customFormat="1" ht="15.75" customHeight="1"/>
    <row r="51" s="28" customFormat="1" ht="15.75" customHeight="1"/>
    <row r="52" s="28" customFormat="1" ht="15.75" customHeight="1"/>
    <row r="53" s="28" customFormat="1" ht="15.75" customHeight="1"/>
    <row r="54" s="28" customFormat="1" ht="15.75" customHeight="1"/>
    <row r="55" s="28" customFormat="1" ht="15.75" customHeight="1"/>
    <row r="56" s="28" customFormat="1" ht="15.75" customHeight="1"/>
    <row r="57" s="28" customFormat="1" ht="15.75" customHeight="1"/>
    <row r="58" s="28" customFormat="1" ht="15.75" customHeight="1"/>
    <row r="59" s="28" customFormat="1" ht="15.75" customHeight="1"/>
    <row r="60" s="28" customFormat="1" ht="15.75" customHeight="1"/>
    <row r="61" s="28" customFormat="1" ht="15.75" customHeight="1"/>
    <row r="62" s="28" customFormat="1" ht="15.75" customHeight="1"/>
    <row r="63" s="28" customFormat="1" ht="15.75" customHeight="1"/>
    <row r="64" s="28" customFormat="1" ht="15.75" customHeight="1"/>
    <row r="65" s="28" customFormat="1" ht="15.75" customHeight="1"/>
    <row r="66" s="28" customFormat="1" ht="15.75" customHeight="1"/>
    <row r="67" s="28" customFormat="1" ht="15.75" customHeight="1"/>
    <row r="68" s="28" customFormat="1" ht="15.75" customHeight="1"/>
    <row r="69" s="28" customFormat="1" ht="15.75" customHeight="1"/>
    <row r="70" s="28" customFormat="1" ht="15.75" customHeight="1"/>
    <row r="71" s="28" customFormat="1" ht="15.75" customHeight="1"/>
    <row r="72" s="28" customFormat="1" ht="15.75" customHeight="1"/>
    <row r="73" s="28" customFormat="1" ht="15.75" customHeight="1"/>
    <row r="74" s="28" customFormat="1" ht="15.75" customHeight="1"/>
    <row r="75" s="28" customFormat="1" ht="15.75" customHeight="1"/>
    <row r="76" s="28" customFormat="1" ht="15.75" customHeight="1"/>
    <row r="77" s="28" customFormat="1" ht="15.75" customHeight="1"/>
    <row r="78" s="28" customFormat="1" ht="15.75" customHeight="1"/>
    <row r="79" s="28" customFormat="1" ht="15.75" customHeight="1"/>
    <row r="80" s="28" customFormat="1" ht="15.75" customHeight="1"/>
    <row r="81" s="28" customFormat="1" ht="15.75" customHeight="1"/>
    <row r="82" s="28" customFormat="1" ht="15.75" customHeight="1"/>
    <row r="83" s="28" customFormat="1" ht="15.75" customHeight="1"/>
    <row r="84" s="28" customFormat="1" ht="15.75" customHeight="1"/>
    <row r="85" s="28" customFormat="1" ht="15.75" customHeight="1"/>
    <row r="86" s="28" customFormat="1" ht="15.75" customHeight="1"/>
    <row r="87" s="28" customFormat="1" ht="15.75" customHeight="1"/>
    <row r="88" s="28" customFormat="1" ht="15.75" customHeight="1"/>
    <row r="89" s="28" customFormat="1" ht="15.75" customHeight="1"/>
    <row r="90" s="28" customFormat="1" ht="15.75" customHeight="1"/>
    <row r="91" s="28" customFormat="1" ht="15.75" customHeight="1"/>
    <row r="92" s="28" customFormat="1" ht="15.75" customHeight="1"/>
    <row r="93" s="28" customFormat="1" ht="15.75" customHeight="1"/>
    <row r="94" s="28" customFormat="1" ht="15.75" customHeight="1"/>
    <row r="95" s="28" customFormat="1" ht="15.75" customHeight="1"/>
    <row r="96" s="28" customFormat="1" ht="15.75" customHeight="1"/>
    <row r="97" s="28" customFormat="1" ht="15.75" customHeight="1"/>
    <row r="98" s="28" customFormat="1" ht="15.75" customHeight="1"/>
    <row r="99" s="28" customFormat="1" ht="15.75" customHeight="1"/>
    <row r="100" s="28" customFormat="1" ht="15.75" customHeight="1"/>
    <row r="101" s="28" customFormat="1" ht="15.75" customHeight="1"/>
    <row r="102" s="28" customFormat="1" ht="15.75" customHeight="1"/>
    <row r="103" s="28" customFormat="1" ht="15.75" customHeight="1"/>
    <row r="104" s="28" customFormat="1" ht="15.75" customHeight="1"/>
    <row r="105" s="28" customFormat="1" ht="15.75" customHeight="1"/>
    <row r="106" s="28" customFormat="1" ht="15.75" customHeight="1"/>
    <row r="107" s="28" customFormat="1" ht="15.75" customHeight="1"/>
    <row r="108" s="28" customFormat="1" ht="15.75" customHeight="1"/>
    <row r="109" s="28" customFormat="1" ht="15.75" customHeight="1"/>
    <row r="110" s="28" customFormat="1" ht="15.75" customHeight="1"/>
    <row r="111" s="28" customFormat="1" ht="15.75" customHeight="1"/>
    <row r="112" s="28" customFormat="1" ht="15.75" customHeight="1"/>
    <row r="113" s="28" customFormat="1" ht="15.75" customHeight="1"/>
    <row r="114" s="28" customFormat="1" ht="15.75" customHeight="1"/>
    <row r="115" s="28" customFormat="1" ht="15.75" customHeight="1"/>
    <row r="116" s="28" customFormat="1" ht="15.75" customHeight="1"/>
    <row r="117" s="28" customFormat="1" ht="15.75" customHeight="1"/>
    <row r="118" s="28" customFormat="1" ht="15.75" customHeight="1"/>
    <row r="119" s="28" customFormat="1" ht="15.75" customHeight="1"/>
    <row r="120" s="28" customFormat="1" ht="15.75" customHeight="1"/>
    <row r="121" s="28" customFormat="1" ht="15.75" customHeight="1"/>
    <row r="122" s="28" customFormat="1" ht="15.75" customHeight="1"/>
    <row r="123" s="28" customFormat="1" ht="15.75" customHeight="1"/>
    <row r="124" s="28" customFormat="1" ht="15.75" customHeight="1"/>
    <row r="125" s="28" customFormat="1" ht="15.75" customHeight="1"/>
    <row r="126" s="28" customFormat="1" ht="15.75" customHeight="1"/>
    <row r="127" s="28" customFormat="1" ht="15.75" customHeight="1"/>
    <row r="128" s="28" customFormat="1" ht="15.75" customHeight="1"/>
    <row r="129" s="28" customFormat="1" ht="15.75" customHeight="1"/>
    <row r="130" s="28" customFormat="1" ht="15.75" customHeight="1"/>
    <row r="131" s="28" customFormat="1" ht="15.75" customHeight="1"/>
    <row r="132" s="28" customFormat="1" ht="15.75" customHeight="1"/>
    <row r="133" s="28" customFormat="1" ht="15.75" customHeight="1"/>
    <row r="134" s="28" customFormat="1" ht="15.75" customHeight="1"/>
    <row r="135" s="28" customFormat="1" ht="15.75" customHeight="1"/>
    <row r="136" s="28" customFormat="1" ht="15.75" customHeight="1"/>
    <row r="137" s="28" customFormat="1" ht="15.75" customHeight="1"/>
    <row r="138" s="28" customFormat="1" ht="15.75" customHeight="1"/>
    <row r="139" s="28" customFormat="1" ht="15.75" customHeight="1"/>
    <row r="140" s="28" customFormat="1" ht="15.75" customHeight="1"/>
    <row r="141" s="28" customFormat="1" ht="15.75" customHeight="1"/>
    <row r="142" s="28" customFormat="1" ht="15.75" customHeight="1"/>
    <row r="143" s="28" customFormat="1" ht="15.75" customHeight="1"/>
    <row r="144" s="28" customFormat="1" ht="15.75" customHeight="1"/>
    <row r="145" s="28" customFormat="1" ht="15.75" customHeight="1"/>
    <row r="146" s="28" customFormat="1" ht="15.75" customHeight="1"/>
    <row r="147" s="28" customFormat="1" ht="15.75" customHeight="1"/>
    <row r="148" s="28" customFormat="1" ht="15.75" customHeight="1"/>
    <row r="149" s="28" customFormat="1" ht="15.75" customHeight="1"/>
    <row r="150" s="28" customFormat="1" ht="15.75" customHeight="1"/>
    <row r="151" s="28" customFormat="1" ht="15.75" customHeight="1"/>
    <row r="152" s="28" customFormat="1" ht="15.75" customHeight="1"/>
    <row r="153" s="28" customFormat="1" ht="15.75" customHeight="1"/>
    <row r="154" s="28" customFormat="1" ht="15.75" customHeight="1"/>
    <row r="155" s="28" customFormat="1" ht="15.75" customHeight="1"/>
    <row r="156" s="28" customFormat="1" ht="15.75" customHeight="1"/>
    <row r="157" s="28" customFormat="1" ht="15.75" customHeight="1"/>
    <row r="158" s="28" customFormat="1" ht="15.75" customHeight="1"/>
    <row r="159" s="28" customFormat="1" ht="15.75" customHeight="1"/>
    <row r="160" s="28" customFormat="1" ht="15.75" customHeight="1"/>
    <row r="161" s="28" customFormat="1" ht="15.75" customHeight="1"/>
    <row r="162" s="28" customFormat="1" ht="15.75" customHeight="1"/>
    <row r="163" s="28" customFormat="1" ht="15.75" customHeight="1"/>
    <row r="164" s="28" customFormat="1" ht="15.75" customHeight="1"/>
    <row r="165" s="28" customFormat="1" ht="15.75" customHeight="1"/>
    <row r="166" s="28" customFormat="1" ht="15.75" customHeight="1"/>
    <row r="167" s="28" customFormat="1" ht="15.75" customHeight="1"/>
    <row r="168" s="28" customFormat="1" ht="15.75" customHeight="1"/>
    <row r="169" s="28" customFormat="1" ht="15.75" customHeight="1"/>
    <row r="170" s="28" customFormat="1" ht="15.75" customHeight="1"/>
    <row r="171" s="28" customFormat="1" ht="15.75" customHeight="1"/>
    <row r="172" s="28" customFormat="1" ht="15.75" customHeight="1"/>
    <row r="173" s="28" customFormat="1" ht="15.75" customHeight="1"/>
    <row r="174" s="28" customFormat="1" ht="15.75" customHeight="1"/>
    <row r="175" s="28" customFormat="1" ht="15.75" customHeight="1"/>
    <row r="176" s="28" customFormat="1" ht="15.75" customHeight="1"/>
    <row r="177" s="28" customFormat="1" ht="15.75" customHeight="1"/>
    <row r="178" s="28" customFormat="1" ht="15.75" customHeight="1"/>
    <row r="179" s="28" customFormat="1" ht="15.75" customHeight="1"/>
    <row r="180" s="28" customFormat="1" ht="15.75" customHeight="1"/>
    <row r="181" s="28" customFormat="1" ht="15.75" customHeight="1"/>
    <row r="182" s="28" customFormat="1" ht="15.75" customHeight="1"/>
    <row r="183" s="28" customFormat="1" ht="15.75" customHeight="1"/>
    <row r="184" s="28" customFormat="1" ht="15.75" customHeight="1"/>
    <row r="185" s="28" customFormat="1" ht="15.75" customHeight="1"/>
    <row r="186" s="28" customFormat="1" ht="15.75" customHeight="1"/>
    <row r="187" s="28" customFormat="1" ht="15.75" customHeight="1"/>
    <row r="188" s="28" customFormat="1" ht="15.75" customHeight="1"/>
    <row r="189" s="28" customFormat="1" ht="15.75" customHeight="1"/>
    <row r="190" s="28" customFormat="1" ht="15.75" customHeight="1"/>
    <row r="191" s="28" customFormat="1" ht="15.75" customHeight="1"/>
    <row r="192" s="28" customFormat="1" ht="15.75" customHeight="1"/>
    <row r="193" s="28" customFormat="1" ht="15.75" customHeight="1"/>
    <row r="194" s="28" customFormat="1" ht="15.75" customHeight="1"/>
    <row r="195" s="28" customFormat="1" ht="15.75" customHeight="1"/>
    <row r="196" s="28" customFormat="1" ht="15.75" customHeight="1"/>
    <row r="197" s="28" customFormat="1" ht="15.75" customHeight="1"/>
    <row r="198" s="28" customFormat="1" ht="15.75" customHeight="1"/>
    <row r="199" s="28" customFormat="1" ht="15.75" customHeight="1"/>
    <row r="200" s="28" customFormat="1" ht="15.75" customHeight="1"/>
    <row r="201" s="28" customFormat="1" ht="15.75" customHeight="1"/>
    <row r="202" s="28" customFormat="1" ht="15.75" customHeight="1"/>
    <row r="203" s="28" customFormat="1" ht="15.75" customHeight="1"/>
    <row r="204" s="28" customFormat="1" ht="15.75" customHeight="1"/>
    <row r="205" s="28" customFormat="1" ht="15.75" customHeight="1"/>
    <row r="206" s="28" customFormat="1" ht="15.75" customHeight="1"/>
    <row r="207" s="28" customFormat="1" ht="15.75" customHeight="1"/>
    <row r="208" s="28" customFormat="1" ht="15.75" customHeight="1"/>
    <row r="209" s="28" customFormat="1" ht="15.75" customHeight="1"/>
    <row r="210" s="28" customFormat="1" ht="15.75" customHeight="1"/>
    <row r="211" s="28" customFormat="1" ht="15.75" customHeight="1"/>
    <row r="212" s="28" customFormat="1" ht="15.75" customHeight="1"/>
    <row r="213" s="28" customFormat="1" ht="15.75" customHeight="1"/>
    <row r="214" s="28" customFormat="1" ht="15.75" customHeight="1"/>
    <row r="215" s="28" customFormat="1" ht="15.75" customHeight="1"/>
    <row r="216" s="28" customFormat="1" ht="15.75" customHeight="1"/>
    <row r="217" s="28" customFormat="1" ht="15.75" customHeight="1"/>
    <row r="218" s="28" customFormat="1" ht="15.75" customHeight="1"/>
    <row r="219" s="28" customFormat="1" ht="15.75" customHeight="1"/>
    <row r="220" s="28" customFormat="1" ht="15.75" customHeight="1"/>
    <row r="221" s="28" customFormat="1" ht="15.75" customHeight="1"/>
    <row r="222" s="28" customFormat="1" ht="15.75" customHeight="1"/>
    <row r="223" s="28" customFormat="1" ht="15.75" customHeight="1"/>
    <row r="224" s="28" customFormat="1" ht="15.75" customHeight="1"/>
    <row r="225" s="28" customFormat="1" ht="15.75" customHeight="1"/>
    <row r="226" s="28" customFormat="1" ht="15.75" customHeight="1"/>
    <row r="227" s="28" customFormat="1" ht="15.75" customHeight="1"/>
    <row r="228" s="28" customFormat="1" ht="15.75" customHeight="1"/>
    <row r="229" s="28" customFormat="1" ht="15.75" customHeight="1"/>
    <row r="230" s="28" customFormat="1" ht="15.75" customHeight="1"/>
    <row r="231" s="28" customFormat="1" ht="15.75" customHeight="1"/>
    <row r="232" s="28" customFormat="1" ht="15.75" customHeight="1"/>
    <row r="233" s="28" customFormat="1" ht="15.75" customHeight="1"/>
    <row r="234" s="28" customFormat="1" ht="15.75" customHeight="1"/>
    <row r="235" s="28" customFormat="1" ht="15.75" customHeight="1"/>
    <row r="236" s="28" customFormat="1" ht="15.75" customHeight="1"/>
    <row r="237" s="28" customFormat="1" ht="15.75" customHeight="1"/>
    <row r="238" s="28" customFormat="1" ht="15.75" customHeight="1"/>
    <row r="239" s="28" customFormat="1" ht="15.75" customHeight="1"/>
    <row r="240" s="28" customFormat="1" ht="15.75" customHeight="1"/>
    <row r="241" s="28" customFormat="1" ht="15.75" customHeight="1"/>
    <row r="242" s="28" customFormat="1" ht="15.75" customHeight="1"/>
    <row r="243" s="28" customFormat="1" ht="15.75" customHeight="1"/>
    <row r="244" s="28" customFormat="1" ht="15.75" customHeight="1"/>
    <row r="245" s="28" customFormat="1" ht="15.75" customHeight="1"/>
    <row r="246" s="28" customFormat="1" ht="15.75" customHeight="1"/>
    <row r="247" s="28" customFormat="1" ht="15.75" customHeight="1"/>
    <row r="248" s="28" customFormat="1" ht="15.75" customHeight="1"/>
    <row r="249" s="28" customFormat="1" ht="15.75" customHeight="1"/>
    <row r="250" s="28" customFormat="1" ht="15.75" customHeight="1"/>
    <row r="251" s="28" customFormat="1" ht="15.75" customHeight="1"/>
    <row r="252" s="28" customFormat="1" ht="15.75" customHeight="1"/>
    <row r="253" s="28" customFormat="1" ht="15.75" customHeight="1"/>
    <row r="254" s="28" customFormat="1" ht="15.75" customHeight="1"/>
    <row r="255" s="28" customFormat="1" ht="15.75" customHeight="1"/>
    <row r="256" s="28" customFormat="1" ht="15.75" customHeight="1"/>
    <row r="257" s="28" customFormat="1" ht="15.75" customHeight="1"/>
    <row r="258" s="28" customFormat="1" ht="15.75" customHeight="1"/>
    <row r="259" s="28" customFormat="1" ht="15.75" customHeight="1"/>
    <row r="260" s="28" customFormat="1" ht="15.75" customHeight="1"/>
    <row r="261" s="28" customFormat="1" ht="15.75" customHeight="1"/>
    <row r="262" s="28" customFormat="1" ht="15.75" customHeight="1"/>
    <row r="263" s="28" customFormat="1" ht="15.75" customHeight="1"/>
    <row r="264" s="28" customFormat="1" ht="15.75" customHeight="1"/>
    <row r="265" s="28" customFormat="1" ht="15.75" customHeight="1"/>
    <row r="266" s="28" customFormat="1" ht="15.75" customHeight="1"/>
    <row r="267" s="28" customFormat="1" ht="15.75" customHeight="1"/>
    <row r="268" s="28" customFormat="1" ht="15.75" customHeight="1"/>
    <row r="269" s="28" customFormat="1" ht="15.75" customHeight="1"/>
    <row r="270" s="28" customFormat="1" ht="15.75" customHeight="1"/>
    <row r="271" s="28" customFormat="1" ht="15.75" customHeight="1"/>
    <row r="272" s="28" customFormat="1" ht="15.75" customHeight="1"/>
    <row r="273" s="28" customFormat="1" ht="15.75" customHeight="1"/>
    <row r="274" s="28" customFormat="1" ht="15.75" customHeight="1"/>
    <row r="275" s="28" customFormat="1" ht="15.75" customHeight="1"/>
    <row r="276" s="28" customFormat="1" ht="15.75" customHeight="1"/>
    <row r="277" s="28" customFormat="1" ht="15.75" customHeight="1"/>
    <row r="278" s="28" customFormat="1" ht="15.75" customHeight="1"/>
    <row r="279" s="28" customFormat="1" ht="15.75" customHeight="1"/>
    <row r="280" s="28" customFormat="1" ht="15.75" customHeight="1"/>
    <row r="281" s="28" customFormat="1" ht="15.75" customHeight="1"/>
    <row r="282" s="28" customFormat="1" ht="15.75" customHeight="1"/>
    <row r="283" s="28" customFormat="1" ht="15.75" customHeight="1"/>
    <row r="284" s="28" customFormat="1" ht="15.75" customHeight="1"/>
    <row r="285" s="28" customFormat="1" ht="15.75" customHeight="1"/>
    <row r="286" s="28" customFormat="1" ht="15.75" customHeight="1"/>
    <row r="287" s="28" customFormat="1" ht="15.75" customHeight="1"/>
    <row r="288" s="28" customFormat="1" ht="15.75" customHeight="1"/>
    <row r="289" s="28" customFormat="1" ht="15.75" customHeight="1"/>
    <row r="290" s="28" customFormat="1" ht="15.75" customHeight="1"/>
    <row r="291" s="28" customFormat="1" ht="15.75" customHeight="1"/>
    <row r="292" s="28" customFormat="1" ht="15.75" customHeight="1"/>
    <row r="293" s="28" customFormat="1" ht="15.75" customHeight="1"/>
    <row r="294" s="28" customFormat="1" ht="15.75" customHeight="1"/>
    <row r="295" s="28" customFormat="1" ht="15.75" customHeight="1"/>
    <row r="296" s="28" customFormat="1" ht="15.75" customHeight="1"/>
    <row r="297" s="28" customFormat="1" ht="15.75" customHeight="1"/>
    <row r="298" s="28" customFormat="1" ht="15.75" customHeight="1"/>
    <row r="299" s="28" customFormat="1" ht="15.75" customHeight="1"/>
    <row r="300" s="28" customFormat="1" ht="15.75" customHeight="1"/>
    <row r="301" s="28" customFormat="1" ht="15.75" customHeight="1"/>
    <row r="302" s="28" customFormat="1" ht="15.75" customHeight="1"/>
    <row r="303" s="28" customFormat="1" ht="15.75" customHeight="1"/>
    <row r="304" s="28" customFormat="1" ht="15.75" customHeight="1"/>
    <row r="305" s="28" customFormat="1" ht="15.75" customHeight="1"/>
    <row r="306" s="28" customFormat="1" ht="15.75" customHeight="1"/>
    <row r="307" s="28" customFormat="1" ht="15.75" customHeight="1"/>
    <row r="308" s="28" customFormat="1" ht="15.75" customHeight="1"/>
    <row r="309" s="28" customFormat="1" ht="15.75" customHeight="1"/>
    <row r="310" s="28" customFormat="1" ht="15.75" customHeight="1"/>
    <row r="311" s="28" customFormat="1" ht="15.75" customHeight="1"/>
    <row r="312" s="28" customFormat="1" ht="15.75" customHeight="1"/>
    <row r="313" s="28" customFormat="1" ht="15.75" customHeight="1"/>
    <row r="314" s="28" customFormat="1" ht="15.75" customHeight="1"/>
    <row r="315" s="28" customFormat="1" ht="15.75" customHeight="1"/>
    <row r="316" s="28" customFormat="1" ht="15.75" customHeight="1"/>
    <row r="317" s="28" customFormat="1" ht="15.75" customHeight="1"/>
    <row r="318" s="28" customFormat="1" ht="15.75" customHeight="1"/>
    <row r="319" s="28" customFormat="1" ht="15.75" customHeight="1"/>
    <row r="320" s="28" customFormat="1" ht="15.75" customHeight="1"/>
    <row r="321" s="28" customFormat="1" ht="15.75" customHeight="1"/>
    <row r="322" s="28" customFormat="1" ht="15.75" customHeight="1"/>
    <row r="323" s="28" customFormat="1" ht="15.75" customHeight="1"/>
    <row r="324" s="28" customFormat="1" ht="15.75" customHeight="1"/>
    <row r="325" s="28" customFormat="1" ht="15.75" customHeight="1"/>
    <row r="326" s="28" customFormat="1" ht="15.75" customHeight="1"/>
    <row r="327" s="28" customFormat="1" ht="15.75" customHeight="1"/>
    <row r="328" s="28" customFormat="1" ht="15.75" customHeight="1"/>
    <row r="329" s="28" customFormat="1" ht="15.75" customHeight="1"/>
    <row r="330" s="28" customFormat="1" ht="15.75" customHeight="1"/>
    <row r="331" s="28" customFormat="1" ht="15.75" customHeight="1"/>
    <row r="332" s="28" customFormat="1" ht="15.75" customHeight="1"/>
    <row r="333" s="28" customFormat="1" ht="15.75" customHeight="1"/>
    <row r="334" s="28" customFormat="1" ht="15.75" customHeight="1"/>
    <row r="335" s="28" customFormat="1" ht="15.75" customHeight="1"/>
    <row r="336" s="28" customFormat="1" ht="15.75" customHeight="1"/>
    <row r="337" s="28" customFormat="1" ht="15.75" customHeight="1"/>
    <row r="338" s="28" customFormat="1" ht="15.75" customHeight="1"/>
    <row r="339" s="28" customFormat="1" ht="15.75" customHeight="1"/>
    <row r="340" s="28" customFormat="1" ht="15.75" customHeight="1"/>
    <row r="341" s="28" customFormat="1" ht="15.75" customHeight="1"/>
    <row r="342" s="28" customFormat="1" ht="15.75" customHeight="1"/>
    <row r="343" s="28" customFormat="1" ht="15.75" customHeight="1"/>
    <row r="344" s="28" customFormat="1" ht="15.75" customHeight="1"/>
    <row r="345" s="28" customFormat="1" ht="15.75" customHeight="1"/>
    <row r="346" s="28" customFormat="1" ht="15.75" customHeight="1"/>
    <row r="347" s="28" customFormat="1" ht="15.75" customHeight="1"/>
    <row r="348" s="28" customFormat="1" ht="15.75" customHeight="1"/>
    <row r="349" s="28" customFormat="1" ht="15.75" customHeight="1"/>
    <row r="350" s="28" customFormat="1" ht="15.75" customHeight="1"/>
    <row r="351" s="28" customFormat="1" ht="15.75" customHeight="1"/>
    <row r="352" s="28" customFormat="1" ht="15.75" customHeight="1"/>
    <row r="353" s="28" customFormat="1" ht="15.75" customHeight="1"/>
    <row r="354" s="28" customFormat="1" ht="15.75" customHeight="1"/>
    <row r="355" s="28" customFormat="1" ht="15.75" customHeight="1"/>
    <row r="356" s="28" customFormat="1" ht="15.75" customHeight="1"/>
    <row r="357" s="28" customFormat="1" ht="15.75" customHeight="1"/>
    <row r="358" s="28" customFormat="1" ht="15.75" customHeight="1"/>
    <row r="359" s="28" customFormat="1" ht="15.75" customHeight="1"/>
    <row r="360" s="28" customFormat="1" ht="15.75" customHeight="1"/>
    <row r="361" s="28" customFormat="1" ht="15.75" customHeight="1"/>
    <row r="362" s="28" customFormat="1" ht="15.75" customHeight="1"/>
    <row r="363" s="28" customFormat="1" ht="15.75" customHeight="1"/>
    <row r="364" s="28" customFormat="1" ht="15.75" customHeight="1"/>
    <row r="365" s="28" customFormat="1" ht="15.75" customHeight="1"/>
    <row r="366" s="28" customFormat="1" ht="15.75" customHeight="1"/>
    <row r="367" s="28" customFormat="1" ht="15.75" customHeight="1"/>
    <row r="368" s="28" customFormat="1" ht="15.75" customHeight="1"/>
    <row r="369" s="28" customFormat="1" ht="15.75" customHeight="1"/>
    <row r="370" s="28" customFormat="1" ht="15.75" customHeight="1"/>
    <row r="371" s="28" customFormat="1" ht="15.75" customHeight="1"/>
    <row r="372" s="28" customFormat="1" ht="15.75" customHeight="1"/>
    <row r="373" s="28" customFormat="1" ht="15.75" customHeight="1"/>
    <row r="374" s="28" customFormat="1" ht="15.75" customHeight="1"/>
    <row r="375" s="28" customFormat="1" ht="15.75" customHeight="1"/>
    <row r="376" s="28" customFormat="1" ht="15.75" customHeight="1"/>
    <row r="377" s="28" customFormat="1" ht="15.75" customHeight="1"/>
    <row r="378" s="28" customFormat="1" ht="15.75" customHeight="1"/>
    <row r="379" s="28" customFormat="1" ht="15.75" customHeight="1"/>
    <row r="380" s="28" customFormat="1" ht="15.75" customHeight="1"/>
    <row r="381" s="28" customFormat="1" ht="15.75" customHeight="1"/>
    <row r="382" s="28" customFormat="1" ht="15.75" customHeight="1"/>
    <row r="383" s="28" customFormat="1" ht="15.75" customHeight="1"/>
    <row r="384" s="28" customFormat="1" ht="15.75" customHeight="1"/>
    <row r="385" s="28" customFormat="1" ht="15.75" customHeight="1"/>
    <row r="386" s="28" customFormat="1" ht="15.75" customHeight="1"/>
    <row r="387" s="28" customFormat="1" ht="15.75" customHeight="1"/>
    <row r="388" s="28" customFormat="1" ht="15.75" customHeight="1"/>
    <row r="389" s="28" customFormat="1" ht="15.75" customHeight="1"/>
    <row r="390" s="28" customFormat="1" ht="15.75" customHeight="1"/>
    <row r="391" s="28" customFormat="1" ht="15.75" customHeight="1"/>
    <row r="392" s="28" customFormat="1" ht="15.75" customHeight="1"/>
    <row r="393" s="28" customFormat="1" ht="15.75" customHeight="1"/>
    <row r="394" s="28" customFormat="1" ht="15.75" customHeight="1"/>
    <row r="395" s="28" customFormat="1" ht="15.75" customHeight="1"/>
    <row r="396" s="28" customFormat="1" ht="15.75" customHeight="1"/>
    <row r="397" s="28" customFormat="1" ht="15.75" customHeight="1"/>
    <row r="398" s="28" customFormat="1" ht="15.75" customHeight="1"/>
    <row r="399" s="28" customFormat="1" ht="15.75" customHeight="1"/>
    <row r="400" s="28" customFormat="1" ht="15.75" customHeight="1"/>
    <row r="401" s="28" customFormat="1" ht="15.75" customHeight="1"/>
    <row r="402" s="28" customFormat="1" ht="15.75" customHeight="1"/>
    <row r="403" s="28" customFormat="1" ht="15.75" customHeight="1"/>
    <row r="404" s="28" customFormat="1" ht="15.75" customHeight="1"/>
    <row r="405" s="28" customFormat="1" ht="15.75" customHeight="1"/>
    <row r="406" s="28" customFormat="1" ht="15.75" customHeight="1"/>
    <row r="407" s="28" customFormat="1" ht="15.75" customHeight="1"/>
    <row r="408" s="28" customFormat="1" ht="15.75" customHeight="1"/>
    <row r="409" s="28" customFormat="1" ht="15.75" customHeight="1"/>
    <row r="410" s="28" customFormat="1" ht="15.75" customHeight="1"/>
    <row r="411" s="28" customFormat="1" ht="15.75" customHeight="1"/>
    <row r="412" s="28" customFormat="1" ht="15.75" customHeight="1"/>
    <row r="413" s="28" customFormat="1" ht="15.75" customHeight="1"/>
    <row r="414" s="28" customFormat="1" ht="15.75" customHeight="1"/>
    <row r="415" s="28" customFormat="1" ht="15.75" customHeight="1"/>
    <row r="416" s="28" customFormat="1" ht="15.75" customHeight="1"/>
    <row r="417" s="28" customFormat="1" ht="15.75" customHeight="1"/>
    <row r="418" s="28" customFormat="1" ht="15.75" customHeight="1"/>
    <row r="419" s="28" customFormat="1" ht="15.75" customHeight="1"/>
    <row r="420" s="28" customFormat="1" ht="15.75" customHeight="1"/>
    <row r="421" s="28" customFormat="1" ht="15.75" customHeight="1"/>
    <row r="422" s="28" customFormat="1" ht="15.75" customHeight="1"/>
    <row r="423" s="28" customFormat="1" ht="15.75" customHeight="1"/>
    <row r="424" s="28" customFormat="1" ht="15.75" customHeight="1"/>
    <row r="425" s="28" customFormat="1" ht="15.75" customHeight="1"/>
    <row r="426" s="28" customFormat="1" ht="15.75" customHeight="1"/>
    <row r="427" s="28" customFormat="1" ht="15.75" customHeight="1"/>
    <row r="428" s="28" customFormat="1" ht="15.75" customHeight="1"/>
    <row r="429" s="28" customFormat="1" ht="15.75" customHeight="1"/>
    <row r="430" s="28" customFormat="1" ht="15.75" customHeight="1"/>
    <row r="431" s="28" customFormat="1" ht="15.75" customHeight="1"/>
    <row r="432" s="28" customFormat="1" ht="15.75" customHeight="1"/>
    <row r="433" s="28" customFormat="1" ht="15.75" customHeight="1"/>
    <row r="434" s="28" customFormat="1" ht="15.75" customHeight="1"/>
    <row r="435" s="28" customFormat="1" ht="15.75" customHeight="1"/>
    <row r="436" s="28" customFormat="1" ht="15.75" customHeight="1"/>
    <row r="437" s="28" customFormat="1" ht="15.75" customHeight="1"/>
    <row r="438" s="28" customFormat="1" ht="15.75" customHeight="1"/>
    <row r="439" s="28" customFormat="1" ht="15.75" customHeight="1"/>
    <row r="440" s="28" customFormat="1" ht="15.75" customHeight="1"/>
    <row r="441" s="28" customFormat="1" ht="15.75" customHeight="1"/>
    <row r="442" s="28" customFormat="1" ht="15.75" customHeight="1"/>
    <row r="443" s="28" customFormat="1" ht="15.75" customHeight="1"/>
    <row r="444" s="28" customFormat="1" ht="15.75" customHeight="1"/>
    <row r="445" s="28" customFormat="1" ht="15.75" customHeight="1"/>
    <row r="446" s="28" customFormat="1" ht="15.75" customHeight="1"/>
    <row r="447" s="28" customFormat="1" ht="15.75" customHeight="1"/>
    <row r="448" s="28" customFormat="1" ht="15.75" customHeight="1"/>
    <row r="449" s="28" customFormat="1" ht="15.75" customHeight="1"/>
    <row r="450" s="28" customFormat="1" ht="15.75" customHeight="1"/>
    <row r="451" s="28" customFormat="1" ht="15.75" customHeight="1"/>
    <row r="452" s="28" customFormat="1" ht="15.75" customHeight="1"/>
    <row r="453" s="28" customFormat="1" ht="15.75" customHeight="1"/>
    <row r="454" s="28" customFormat="1" ht="15.75" customHeight="1"/>
    <row r="455" s="28" customFormat="1" ht="15.75" customHeight="1"/>
    <row r="456" s="28" customFormat="1" ht="15.75" customHeight="1"/>
    <row r="457" s="28" customFormat="1" ht="15.75" customHeight="1"/>
    <row r="458" s="28" customFormat="1" ht="15.75" customHeight="1"/>
    <row r="459" s="28" customFormat="1" ht="15.75" customHeight="1"/>
    <row r="460" s="28" customFormat="1" ht="15.75" customHeight="1"/>
    <row r="461" s="28" customFormat="1" ht="15.75" customHeight="1"/>
    <row r="462" s="28" customFormat="1" ht="15.75" customHeight="1"/>
    <row r="463" s="28" customFormat="1" ht="15.75" customHeight="1"/>
    <row r="464" s="28" customFormat="1" ht="15.75" customHeight="1"/>
    <row r="465" s="28" customFormat="1" ht="15.75" customHeight="1"/>
    <row r="466" s="28" customFormat="1" ht="15.75" customHeight="1"/>
    <row r="467" s="28" customFormat="1" ht="15.75" customHeight="1"/>
    <row r="468" s="28" customFormat="1" ht="15.75" customHeight="1"/>
    <row r="469" s="28" customFormat="1" ht="15.75" customHeight="1"/>
    <row r="470" s="28" customFormat="1" ht="15.75" customHeight="1"/>
    <row r="471" s="28" customFormat="1" ht="15.75" customHeight="1"/>
    <row r="472" s="28" customFormat="1" ht="15.75" customHeight="1"/>
    <row r="473" s="28" customFormat="1" ht="15.75" customHeight="1"/>
    <row r="474" s="28" customFormat="1" ht="15.75" customHeight="1"/>
    <row r="475" s="28" customFormat="1" ht="15.75" customHeight="1"/>
    <row r="476" s="28" customFormat="1" ht="15.75" customHeight="1"/>
    <row r="477" s="28" customFormat="1" ht="15.75" customHeight="1"/>
    <row r="478" s="28" customFormat="1" ht="15.75" customHeight="1"/>
    <row r="479" s="28" customFormat="1" ht="15.75" customHeight="1"/>
    <row r="480" s="28" customFormat="1" ht="15.75" customHeight="1"/>
    <row r="481" s="28" customFormat="1" ht="15.75" customHeight="1"/>
    <row r="482" s="28" customFormat="1" ht="15.75" customHeight="1"/>
    <row r="483" s="28" customFormat="1" ht="15.75" customHeight="1"/>
    <row r="484" s="28" customFormat="1" ht="15.75" customHeight="1"/>
    <row r="485" s="28" customFormat="1" ht="15.75" customHeight="1"/>
    <row r="486" s="28" customFormat="1" ht="15.75" customHeight="1"/>
    <row r="487" s="28" customFormat="1" ht="15.75" customHeight="1"/>
    <row r="488" s="28" customFormat="1" ht="15.75" customHeight="1"/>
    <row r="489" s="28" customFormat="1" ht="15.75" customHeight="1"/>
    <row r="490" s="28" customFormat="1" ht="15.75" customHeight="1"/>
    <row r="491" s="28" customFormat="1" ht="15.75" customHeight="1"/>
    <row r="492" s="28" customFormat="1" ht="15.75" customHeight="1"/>
    <row r="493" s="28" customFormat="1" ht="15.75" customHeight="1"/>
    <row r="494" s="28" customFormat="1" ht="15.75" customHeight="1"/>
    <row r="495" s="28" customFormat="1" ht="15.75" customHeight="1"/>
    <row r="496" s="28" customFormat="1" ht="15.75" customHeight="1"/>
    <row r="497" s="28" customFormat="1" ht="15.75" customHeight="1"/>
    <row r="498" s="28" customFormat="1" ht="15.75" customHeight="1"/>
    <row r="499" s="28" customFormat="1" ht="15.75" customHeight="1"/>
    <row r="500" s="28" customFormat="1" ht="15.75" customHeight="1"/>
    <row r="501" s="28" customFormat="1" ht="15.75" customHeight="1"/>
    <row r="502" s="28" customFormat="1" ht="15.75" customHeight="1"/>
    <row r="503" s="28" customFormat="1" ht="15.75" customHeight="1"/>
    <row r="504" s="28" customFormat="1" ht="15.75" customHeight="1"/>
    <row r="505" s="28" customFormat="1" ht="15.75" customHeight="1"/>
    <row r="506" s="28" customFormat="1" ht="15.75" customHeight="1"/>
    <row r="507" s="28" customFormat="1" ht="15.75" customHeight="1"/>
    <row r="508" s="28" customFormat="1" ht="15.75" customHeight="1"/>
    <row r="509" s="28" customFormat="1" ht="15.75" customHeight="1"/>
    <row r="510" s="28" customFormat="1" ht="15.75" customHeight="1"/>
    <row r="511" s="28" customFormat="1" ht="15.75" customHeight="1"/>
    <row r="512" s="28" customFormat="1" ht="15.75" customHeight="1"/>
    <row r="513" s="28" customFormat="1" ht="15.75" customHeight="1"/>
    <row r="514" s="28" customFormat="1" ht="15.75" customHeight="1"/>
    <row r="515" s="28" customFormat="1" ht="15.75" customHeight="1"/>
    <row r="516" s="28" customFormat="1" ht="15.75" customHeight="1"/>
    <row r="517" s="28" customFormat="1" ht="15.75" customHeight="1"/>
    <row r="518" s="28" customFormat="1" ht="15.75" customHeight="1"/>
    <row r="519" s="28" customFormat="1" ht="15.75" customHeight="1"/>
    <row r="520" s="28" customFormat="1" ht="15.75" customHeight="1"/>
    <row r="521" s="28" customFormat="1" ht="15.75" customHeight="1"/>
    <row r="522" s="28" customFormat="1" ht="15.75" customHeight="1"/>
    <row r="523" s="28" customFormat="1" ht="15.75" customHeight="1"/>
    <row r="524" s="28" customFormat="1" ht="15.75" customHeight="1"/>
    <row r="525" s="28" customFormat="1" ht="15.75" customHeight="1"/>
    <row r="526" s="28" customFormat="1" ht="15.75" customHeight="1"/>
    <row r="527" s="28" customFormat="1" ht="15.75" customHeight="1"/>
    <row r="528" s="28" customFormat="1" ht="15.75" customHeight="1"/>
    <row r="529" s="28" customFormat="1" ht="15.75" customHeight="1"/>
    <row r="530" s="28" customFormat="1" ht="15.75" customHeight="1"/>
    <row r="531" s="28" customFormat="1" ht="15.75" customHeight="1"/>
    <row r="532" s="28" customFormat="1" ht="15.75" customHeight="1"/>
    <row r="533" s="28" customFormat="1" ht="15.75" customHeight="1"/>
    <row r="534" s="28" customFormat="1" ht="15.75" customHeight="1"/>
    <row r="535" s="28" customFormat="1" ht="15.75" customHeight="1"/>
    <row r="536" s="28" customFormat="1" ht="15.75" customHeight="1"/>
    <row r="537" s="28" customFormat="1" ht="15.75" customHeight="1"/>
    <row r="538" s="28" customFormat="1" ht="15.75" customHeight="1"/>
    <row r="539" s="28" customFormat="1" ht="15.75" customHeight="1"/>
    <row r="540" s="28" customFormat="1" ht="15.75" customHeight="1"/>
    <row r="541" s="28" customFormat="1" ht="15.75" customHeight="1"/>
    <row r="542" s="28" customFormat="1" ht="15.75" customHeight="1"/>
    <row r="543" s="28" customFormat="1" ht="15.75" customHeight="1"/>
    <row r="544" s="28" customFormat="1" ht="15.75" customHeight="1"/>
    <row r="545" s="28" customFormat="1" ht="15.75" customHeight="1"/>
    <row r="546" s="28" customFormat="1" ht="15.75" customHeight="1"/>
    <row r="547" s="28" customFormat="1" ht="15.75" customHeight="1"/>
    <row r="548" s="28" customFormat="1" ht="15.75" customHeight="1"/>
    <row r="549" s="28" customFormat="1" ht="15.75" customHeight="1"/>
    <row r="550" s="28" customFormat="1" ht="15.75" customHeight="1"/>
    <row r="551" s="28" customFormat="1" ht="15.75" customHeight="1"/>
    <row r="552" s="28" customFormat="1" ht="15.75" customHeight="1"/>
    <row r="553" s="28" customFormat="1" ht="15.75" customHeight="1"/>
    <row r="554" s="28" customFormat="1" ht="15.75" customHeight="1"/>
    <row r="555" s="28" customFormat="1" ht="15.75" customHeight="1"/>
    <row r="556" s="28" customFormat="1" ht="15.75" customHeight="1"/>
    <row r="557" s="28" customFormat="1" ht="15.75" customHeight="1"/>
    <row r="558" s="28" customFormat="1" ht="15.75" customHeight="1"/>
    <row r="559" s="28" customFormat="1" ht="15.75" customHeight="1"/>
    <row r="560" s="28" customFormat="1" ht="15.75" customHeight="1"/>
    <row r="561" s="28" customFormat="1" ht="15.75" customHeight="1"/>
    <row r="562" s="28" customFormat="1" ht="15.75" customHeight="1"/>
    <row r="563" s="28" customFormat="1" ht="15.75" customHeight="1"/>
    <row r="564" s="28" customFormat="1" ht="15.75" customHeight="1"/>
    <row r="565" s="28" customFormat="1" ht="15.75" customHeight="1"/>
    <row r="566" s="28" customFormat="1" ht="15.75" customHeight="1"/>
    <row r="567" s="28" customFormat="1" ht="15.75" customHeight="1"/>
    <row r="568" s="28" customFormat="1" ht="15.75" customHeight="1"/>
    <row r="569" s="28" customFormat="1" ht="15.75" customHeight="1"/>
    <row r="570" s="28" customFormat="1" ht="15.75" customHeight="1"/>
    <row r="571" s="28" customFormat="1" ht="15.75" customHeight="1"/>
    <row r="572" s="28" customFormat="1" ht="15.75" customHeight="1"/>
    <row r="573" s="28" customFormat="1" ht="15.75" customHeight="1"/>
    <row r="574" s="28" customFormat="1" ht="15.75" customHeight="1"/>
    <row r="575" s="28" customFormat="1" ht="15.75" customHeight="1"/>
    <row r="576" s="28" customFormat="1" ht="15.75" customHeight="1"/>
    <row r="577" s="28" customFormat="1" ht="15.75" customHeight="1"/>
    <row r="578" s="28" customFormat="1" ht="15.75" customHeight="1"/>
    <row r="579" s="28" customFormat="1" ht="15.75" customHeight="1"/>
    <row r="580" s="28" customFormat="1" ht="15.75" customHeight="1"/>
    <row r="581" s="28" customFormat="1" ht="15.75" customHeight="1"/>
    <row r="582" s="28" customFormat="1" ht="15.75" customHeight="1"/>
    <row r="583" s="28" customFormat="1" ht="15.75" customHeight="1"/>
    <row r="584" s="28" customFormat="1" ht="15.75" customHeight="1"/>
    <row r="585" s="28" customFormat="1" ht="15.75" customHeight="1"/>
    <row r="586" s="28" customFormat="1" ht="15.75" customHeight="1"/>
    <row r="587" s="28" customFormat="1" ht="15.75" customHeight="1"/>
    <row r="588" s="28" customFormat="1" ht="15.75" customHeight="1"/>
    <row r="589" s="28" customFormat="1" ht="15.75" customHeight="1"/>
    <row r="590" s="28" customFormat="1" ht="15.75" customHeight="1"/>
    <row r="591" s="28" customFormat="1" ht="15.75" customHeight="1"/>
    <row r="592" s="28" customFormat="1" ht="15.75" customHeight="1"/>
    <row r="593" s="28" customFormat="1" ht="15.75" customHeight="1"/>
    <row r="594" s="28" customFormat="1" ht="15.75" customHeight="1"/>
    <row r="595" s="28" customFormat="1" ht="15.75" customHeight="1"/>
    <row r="596" s="28" customFormat="1" ht="15.75" customHeight="1"/>
    <row r="597" s="28" customFormat="1" ht="15.75" customHeight="1"/>
    <row r="598" s="28" customFormat="1" ht="15.75" customHeight="1"/>
    <row r="599" s="28" customFormat="1" ht="15.75" customHeight="1"/>
    <row r="600" s="28" customFormat="1" ht="15.75" customHeight="1"/>
    <row r="601" s="28" customFormat="1" ht="15.75" customHeight="1"/>
    <row r="602" s="28" customFormat="1" ht="15.75" customHeight="1"/>
    <row r="603" s="28" customFormat="1" ht="15.75" customHeight="1"/>
    <row r="604" s="28" customFormat="1" ht="15.75" customHeight="1"/>
    <row r="605" s="28" customFormat="1" ht="15.75" customHeight="1"/>
    <row r="606" s="28" customFormat="1" ht="15.75" customHeight="1"/>
    <row r="607" s="28" customFormat="1" ht="15.75" customHeight="1"/>
    <row r="608" s="28" customFormat="1" ht="15.75" customHeight="1"/>
    <row r="609" s="28" customFormat="1" ht="15.75" customHeight="1"/>
    <row r="610" s="28" customFormat="1" ht="15.75" customHeight="1"/>
    <row r="611" s="28" customFormat="1" ht="15.75" customHeight="1"/>
    <row r="612" s="28" customFormat="1" ht="15.75" customHeight="1"/>
    <row r="613" s="28" customFormat="1" ht="15.75" customHeight="1"/>
    <row r="614" s="28" customFormat="1" ht="15.75" customHeight="1"/>
    <row r="615" s="28" customFormat="1" ht="15.75" customHeight="1"/>
    <row r="616" s="28" customFormat="1" ht="15.75" customHeight="1"/>
    <row r="617" s="28" customFormat="1" ht="15.75" customHeight="1"/>
    <row r="618" s="28" customFormat="1" ht="15.75" customHeight="1"/>
    <row r="619" s="28" customFormat="1" ht="15.75" customHeight="1"/>
    <row r="620" s="28" customFormat="1" ht="15.75" customHeight="1"/>
    <row r="621" s="28" customFormat="1" ht="15.75" customHeight="1"/>
    <row r="622" s="28" customFormat="1" ht="15.75" customHeight="1"/>
    <row r="623" s="28" customFormat="1" ht="15.75" customHeight="1"/>
    <row r="624" s="28" customFormat="1" ht="15.75" customHeight="1"/>
    <row r="625" s="28" customFormat="1" ht="15.75" customHeight="1"/>
    <row r="626" s="28" customFormat="1" ht="15.75" customHeight="1"/>
    <row r="627" s="28" customFormat="1" ht="15.75" customHeight="1"/>
    <row r="628" s="28" customFormat="1" ht="15.75" customHeight="1"/>
    <row r="629" s="28" customFormat="1" ht="15.75" customHeight="1"/>
    <row r="630" s="28" customFormat="1" ht="15.75" customHeight="1"/>
    <row r="631" s="28" customFormat="1" ht="15.75" customHeight="1"/>
    <row r="632" s="28" customFormat="1" ht="15.75" customHeight="1"/>
    <row r="633" s="28" customFormat="1" ht="15.75" customHeight="1"/>
    <row r="634" s="28" customFormat="1" ht="15.75" customHeight="1"/>
    <row r="635" s="28" customFormat="1" ht="15.75" customHeight="1"/>
    <row r="636" s="28" customFormat="1" ht="15.75" customHeight="1"/>
    <row r="637" s="28" customFormat="1" ht="15.75" customHeight="1"/>
    <row r="638" s="28" customFormat="1" ht="15.75" customHeight="1"/>
    <row r="639" s="28" customFormat="1" ht="15.75" customHeight="1"/>
    <row r="640" s="28" customFormat="1" ht="15.75" customHeight="1"/>
    <row r="641" s="28" customFormat="1" ht="15.75" customHeight="1"/>
    <row r="642" s="28" customFormat="1" ht="15.75" customHeight="1"/>
    <row r="643" s="28" customFormat="1" ht="15.75" customHeight="1"/>
    <row r="644" s="28" customFormat="1" ht="15.75" customHeight="1"/>
    <row r="645" s="28" customFormat="1" ht="15.75" customHeight="1"/>
    <row r="646" s="28" customFormat="1" ht="15.75" customHeight="1"/>
    <row r="647" s="28" customFormat="1" ht="15.75" customHeight="1"/>
    <row r="648" s="28" customFormat="1" ht="15.75" customHeight="1"/>
    <row r="649" s="28" customFormat="1" ht="15.75" customHeight="1"/>
    <row r="650" s="28" customFormat="1" ht="15.75" customHeight="1"/>
    <row r="651" s="28" customFormat="1" ht="15.75" customHeight="1"/>
    <row r="652" s="28" customFormat="1" ht="15.75" customHeight="1"/>
    <row r="653" s="28" customFormat="1" ht="15.75" customHeight="1"/>
    <row r="654" s="28" customFormat="1" ht="15.75" customHeight="1"/>
    <row r="655" s="28" customFormat="1" ht="15.75" customHeight="1"/>
    <row r="656" s="28" customFormat="1" ht="15.75" customHeight="1"/>
    <row r="657" s="28" customFormat="1" ht="15.75" customHeight="1"/>
    <row r="658" s="28" customFormat="1" ht="15.75" customHeight="1"/>
    <row r="659" s="28" customFormat="1" ht="15.75" customHeight="1"/>
    <row r="660" s="28" customFormat="1" ht="15.75" customHeight="1"/>
    <row r="661" s="28" customFormat="1" ht="15.75" customHeight="1"/>
    <row r="662" s="28" customFormat="1" ht="15.75" customHeight="1"/>
    <row r="663" s="28" customFormat="1" ht="15.75" customHeight="1"/>
    <row r="664" s="28" customFormat="1" ht="15.75" customHeight="1"/>
    <row r="665" s="28" customFormat="1" ht="15.75" customHeight="1"/>
    <row r="666" s="28" customFormat="1" ht="15.75" customHeight="1"/>
    <row r="667" s="28" customFormat="1" ht="15.75" customHeight="1"/>
    <row r="668" s="28" customFormat="1" ht="15.75" customHeight="1"/>
    <row r="669" s="28" customFormat="1" ht="15.75" customHeight="1"/>
    <row r="670" s="28" customFormat="1" ht="15.75" customHeight="1"/>
    <row r="671" s="28" customFormat="1" ht="15.75" customHeight="1"/>
    <row r="672" s="28" customFormat="1" ht="15.75" customHeight="1"/>
    <row r="673" s="28" customFormat="1" ht="15.75" customHeight="1"/>
    <row r="674" s="28" customFormat="1" ht="15.75" customHeight="1"/>
    <row r="675" s="28" customFormat="1" ht="15.75" customHeight="1"/>
    <row r="676" s="28" customFormat="1" ht="15.75" customHeight="1"/>
    <row r="677" s="28" customFormat="1" ht="15.75" customHeight="1"/>
    <row r="678" s="28" customFormat="1" ht="15.75" customHeight="1"/>
    <row r="679" s="28" customFormat="1" ht="15.75" customHeight="1"/>
    <row r="680" s="28" customFormat="1" ht="15.75" customHeight="1"/>
    <row r="681" s="28" customFormat="1" ht="15.75" customHeight="1"/>
    <row r="682" s="28" customFormat="1" ht="15.75" customHeight="1"/>
    <row r="683" s="28" customFormat="1" ht="15.75" customHeight="1"/>
    <row r="684" s="28" customFormat="1" ht="15.75" customHeight="1"/>
    <row r="685" s="28" customFormat="1" ht="15.75" customHeight="1"/>
    <row r="686" s="28" customFormat="1" ht="15.75" customHeight="1"/>
    <row r="687" s="28" customFormat="1" ht="15.75" customHeight="1"/>
    <row r="688" s="28" customFormat="1" ht="15.75" customHeight="1"/>
    <row r="689" s="28" customFormat="1" ht="15.75" customHeight="1"/>
    <row r="690" s="28" customFormat="1" ht="15.75" customHeight="1"/>
    <row r="691" s="28" customFormat="1" ht="15.75" customHeight="1"/>
    <row r="692" s="28" customFormat="1" ht="15.75" customHeight="1"/>
    <row r="693" s="28" customFormat="1" ht="15.75" customHeight="1"/>
    <row r="694" s="28" customFormat="1" ht="15.75" customHeight="1"/>
    <row r="695" s="28" customFormat="1" ht="15.75" customHeight="1"/>
    <row r="696" s="28" customFormat="1" ht="15.75" customHeight="1"/>
    <row r="697" s="28" customFormat="1" ht="15.75" customHeight="1"/>
    <row r="698" s="28" customFormat="1" ht="15.75" customHeight="1"/>
    <row r="699" s="28" customFormat="1" ht="15.75" customHeight="1"/>
    <row r="700" s="28" customFormat="1" ht="15.75" customHeight="1"/>
    <row r="701" s="28" customFormat="1" ht="15.75" customHeight="1"/>
    <row r="702" s="28" customFormat="1" ht="15.75" customHeight="1"/>
    <row r="703" s="28" customFormat="1" ht="15.75" customHeight="1"/>
    <row r="704" s="28" customFormat="1" ht="15.75" customHeight="1"/>
    <row r="705" s="28" customFormat="1" ht="15.75" customHeight="1"/>
    <row r="706" s="28" customFormat="1" ht="15.75" customHeight="1"/>
    <row r="707" s="28" customFormat="1" ht="15.75" customHeight="1"/>
    <row r="708" s="28" customFormat="1" ht="15.75" customHeight="1"/>
    <row r="709" s="28" customFormat="1" ht="15.75" customHeight="1"/>
    <row r="710" s="28" customFormat="1" ht="15.75" customHeight="1"/>
    <row r="711" s="28" customFormat="1" ht="15.75" customHeight="1"/>
    <row r="712" s="28" customFormat="1" ht="15.75" customHeight="1"/>
    <row r="713" s="28" customFormat="1" ht="15.75" customHeight="1"/>
    <row r="714" s="28" customFormat="1" ht="15.75" customHeight="1"/>
    <row r="715" s="28" customFormat="1" ht="15.75" customHeight="1"/>
    <row r="716" s="28" customFormat="1" ht="15.75" customHeight="1"/>
    <row r="717" s="28" customFormat="1" ht="15.75" customHeight="1"/>
    <row r="718" s="28" customFormat="1" ht="15.75" customHeight="1"/>
    <row r="719" s="28" customFormat="1" ht="15.75" customHeight="1"/>
    <row r="720" s="28" customFormat="1" ht="15.75" customHeight="1"/>
    <row r="721" s="28" customFormat="1" ht="15.75" customHeight="1"/>
    <row r="722" s="28" customFormat="1" ht="15.75" customHeight="1"/>
    <row r="723" s="28" customFormat="1" ht="15.75" customHeight="1"/>
    <row r="724" s="28" customFormat="1" ht="15.75" customHeight="1"/>
    <row r="725" s="28" customFormat="1" ht="15.75" customHeight="1"/>
    <row r="726" s="28" customFormat="1" ht="15.75" customHeight="1"/>
    <row r="727" s="28" customFormat="1" ht="15.75" customHeight="1"/>
    <row r="728" s="28" customFormat="1" ht="15.75" customHeight="1"/>
    <row r="729" s="28" customFormat="1" ht="15.75" customHeight="1"/>
    <row r="730" s="28" customFormat="1" ht="15.75" customHeight="1"/>
    <row r="731" s="28" customFormat="1" ht="15.75" customHeight="1"/>
    <row r="732" s="28" customFormat="1" ht="15.75" customHeight="1"/>
    <row r="733" s="28" customFormat="1" ht="15.75" customHeight="1"/>
    <row r="734" s="28" customFormat="1" ht="15.75" customHeight="1"/>
    <row r="735" s="28" customFormat="1" ht="15.75" customHeight="1"/>
    <row r="736" s="28" customFormat="1" ht="15.75" customHeight="1"/>
    <row r="737" s="28" customFormat="1" ht="15.75" customHeight="1"/>
    <row r="738" s="28" customFormat="1" ht="15.75" customHeight="1"/>
    <row r="739" s="28" customFormat="1" ht="15.75" customHeight="1"/>
    <row r="740" s="28" customFormat="1" ht="15.75" customHeight="1"/>
    <row r="741" s="28" customFormat="1" ht="15.75" customHeight="1"/>
    <row r="742" s="28" customFormat="1" ht="15.75" customHeight="1"/>
    <row r="743" s="28" customFormat="1" ht="15.75" customHeight="1"/>
    <row r="744" s="28" customFormat="1" ht="15.75" customHeight="1"/>
    <row r="745" s="28" customFormat="1" ht="15.75" customHeight="1"/>
    <row r="746" s="28" customFormat="1" ht="15.75" customHeight="1"/>
    <row r="747" s="28" customFormat="1" ht="15.75" customHeight="1"/>
    <row r="748" s="28" customFormat="1" ht="15.75" customHeight="1"/>
    <row r="749" s="28" customFormat="1" ht="15.75" customHeight="1"/>
    <row r="750" s="28" customFormat="1" ht="15.75" customHeight="1"/>
    <row r="751" s="28" customFormat="1" ht="15.75" customHeight="1"/>
    <row r="752" s="28" customFormat="1" ht="15.75" customHeight="1"/>
    <row r="753" s="28" customFormat="1" ht="15.75" customHeight="1"/>
    <row r="754" s="28" customFormat="1" ht="15.75" customHeight="1"/>
    <row r="755" s="28" customFormat="1" ht="15.75" customHeight="1"/>
    <row r="756" s="28" customFormat="1" ht="15.75" customHeight="1"/>
    <row r="757" s="28" customFormat="1" ht="15.75" customHeight="1"/>
    <row r="758" s="28" customFormat="1" ht="15.75" customHeight="1"/>
    <row r="759" s="28" customFormat="1" ht="15.75" customHeight="1"/>
    <row r="760" s="28" customFormat="1" ht="15.75" customHeight="1"/>
    <row r="761" s="28" customFormat="1" ht="15.75" customHeight="1"/>
    <row r="762" s="28" customFormat="1" ht="15.75" customHeight="1"/>
    <row r="763" s="28" customFormat="1" ht="15.75" customHeight="1"/>
    <row r="764" s="28" customFormat="1" ht="15.75" customHeight="1"/>
    <row r="765" s="28" customFormat="1" ht="15.75" customHeight="1"/>
    <row r="766" s="28" customFormat="1" ht="15.75" customHeight="1"/>
    <row r="767" s="28" customFormat="1" ht="15.75" customHeight="1"/>
    <row r="768" s="28" customFormat="1" ht="15.75" customHeight="1"/>
    <row r="769" s="28" customFormat="1" ht="15.75" customHeight="1"/>
    <row r="770" s="28" customFormat="1" ht="15.75" customHeight="1"/>
    <row r="771" s="28" customFormat="1" ht="15.75" customHeight="1"/>
    <row r="772" s="28" customFormat="1" ht="15.75" customHeight="1"/>
    <row r="773" s="28" customFormat="1" ht="15.75" customHeight="1"/>
    <row r="774" s="28" customFormat="1" ht="15.75" customHeight="1"/>
    <row r="775" s="28" customFormat="1" ht="15.75" customHeight="1"/>
    <row r="776" s="28" customFormat="1" ht="15.75" customHeight="1"/>
    <row r="777" s="28" customFormat="1" ht="15.75" customHeight="1"/>
    <row r="778" s="28" customFormat="1" ht="15.75" customHeight="1"/>
    <row r="779" s="28" customFormat="1" ht="15.75" customHeight="1"/>
    <row r="780" s="28" customFormat="1" ht="15.75" customHeight="1"/>
    <row r="781" s="28" customFormat="1" ht="15.75" customHeight="1"/>
    <row r="782" s="28" customFormat="1" ht="15.75" customHeight="1"/>
    <row r="783" s="28" customFormat="1" ht="15.75" customHeight="1"/>
    <row r="784" s="28" customFormat="1" ht="15.75" customHeight="1"/>
    <row r="785" s="28" customFormat="1" ht="15.75" customHeight="1"/>
    <row r="786" s="28" customFormat="1" ht="15.75" customHeight="1"/>
    <row r="787" s="28" customFormat="1" ht="15.75" customHeight="1"/>
    <row r="788" s="28" customFormat="1" ht="15.75" customHeight="1"/>
    <row r="789" s="28" customFormat="1" ht="15.75" customHeight="1"/>
    <row r="790" s="28" customFormat="1" ht="15.75" customHeight="1"/>
    <row r="791" s="28" customFormat="1" ht="15.75" customHeight="1"/>
    <row r="792" s="28" customFormat="1" ht="15.75" customHeight="1"/>
    <row r="793" s="28" customFormat="1" ht="15.75" customHeight="1"/>
    <row r="794" s="28" customFormat="1" ht="15.75" customHeight="1"/>
    <row r="795" s="28" customFormat="1" ht="15.75" customHeight="1"/>
    <row r="796" s="28" customFormat="1" ht="15.75" customHeight="1"/>
    <row r="797" s="28" customFormat="1" ht="15.75" customHeight="1"/>
    <row r="798" s="28" customFormat="1" ht="15.75" customHeight="1"/>
    <row r="799" s="28" customFormat="1" ht="15.75" customHeight="1"/>
    <row r="800" s="28" customFormat="1" ht="15.75" customHeight="1"/>
    <row r="801" s="28" customFormat="1" ht="15.75" customHeight="1"/>
    <row r="802" s="28" customFormat="1" ht="15.75" customHeight="1"/>
    <row r="803" s="28" customFormat="1" ht="15.75" customHeight="1"/>
    <row r="804" s="28" customFormat="1" ht="15.75" customHeight="1"/>
    <row r="805" s="28" customFormat="1" ht="15.75" customHeight="1"/>
    <row r="806" s="28" customFormat="1" ht="15.75" customHeight="1"/>
    <row r="807" s="28" customFormat="1" ht="15.75" customHeight="1"/>
    <row r="808" s="28" customFormat="1" ht="15.75" customHeight="1"/>
    <row r="809" s="28" customFormat="1" ht="15.75" customHeight="1"/>
    <row r="810" s="28" customFormat="1" ht="15.75" customHeight="1"/>
    <row r="811" s="28" customFormat="1" ht="15.75" customHeight="1"/>
    <row r="812" s="28" customFormat="1" ht="15.75" customHeight="1"/>
    <row r="813" s="28" customFormat="1" ht="15.75" customHeight="1"/>
    <row r="814" s="28" customFormat="1" ht="15.75" customHeight="1"/>
    <row r="815" s="28" customFormat="1" ht="15.75" customHeight="1"/>
    <row r="816" s="28" customFormat="1" ht="15.75" customHeight="1"/>
    <row r="817" s="28" customFormat="1" ht="15.75" customHeight="1"/>
    <row r="818" s="28" customFormat="1" ht="15.75" customHeight="1"/>
    <row r="819" s="28" customFormat="1" ht="15.75" customHeight="1"/>
    <row r="820" s="28" customFormat="1" ht="15.75" customHeight="1"/>
    <row r="821" s="28" customFormat="1" ht="15.75" customHeight="1"/>
    <row r="822" s="28" customFormat="1" ht="15.75" customHeight="1"/>
    <row r="823" s="28" customFormat="1" ht="15.75" customHeight="1"/>
    <row r="824" s="28" customFormat="1" ht="15.75" customHeight="1"/>
    <row r="825" s="28" customFormat="1" ht="15.75" customHeight="1"/>
    <row r="826" s="28" customFormat="1" ht="15.75" customHeight="1"/>
    <row r="827" s="28" customFormat="1" ht="15.75" customHeight="1"/>
    <row r="828" s="28" customFormat="1" ht="15.75" customHeight="1"/>
    <row r="829" s="28" customFormat="1" ht="15.75" customHeight="1"/>
    <row r="830" s="28" customFormat="1" ht="15.75" customHeight="1"/>
    <row r="831" s="28" customFormat="1" ht="15.75" customHeight="1"/>
    <row r="832" s="28" customFormat="1" ht="15.75" customHeight="1"/>
    <row r="833" s="28" customFormat="1" ht="15.75" customHeight="1"/>
    <row r="834" s="28" customFormat="1" ht="15.75" customHeight="1"/>
    <row r="835" s="28" customFormat="1" ht="15.75" customHeight="1"/>
    <row r="836" s="28" customFormat="1" ht="15.75" customHeight="1"/>
    <row r="837" s="28" customFormat="1" ht="15.75" customHeight="1"/>
    <row r="838" s="28" customFormat="1" ht="15.75" customHeight="1"/>
    <row r="839" s="28" customFormat="1" ht="15.75" customHeight="1"/>
    <row r="840" s="28" customFormat="1" ht="15.75" customHeight="1"/>
    <row r="841" s="28" customFormat="1" ht="15.75" customHeight="1"/>
    <row r="842" s="28" customFormat="1" ht="15.75" customHeight="1"/>
    <row r="843" s="28" customFormat="1" ht="15.75" customHeight="1"/>
    <row r="844" s="28" customFormat="1" ht="15.75" customHeight="1"/>
    <row r="845" s="28" customFormat="1" ht="15.75" customHeight="1"/>
    <row r="846" s="28" customFormat="1" ht="15.75" customHeight="1"/>
    <row r="847" s="28" customFormat="1" ht="15.75" customHeight="1"/>
    <row r="848" s="28" customFormat="1" ht="15.75" customHeight="1"/>
    <row r="849" s="28" customFormat="1" ht="15.75" customHeight="1"/>
    <row r="850" s="28" customFormat="1" ht="15.75" customHeight="1"/>
    <row r="851" s="28" customFormat="1" ht="15.75" customHeight="1"/>
    <row r="852" s="28" customFormat="1" ht="15.75" customHeight="1"/>
    <row r="853" s="28" customFormat="1" ht="15.75" customHeight="1"/>
    <row r="854" s="28" customFormat="1" ht="15.75" customHeight="1"/>
    <row r="855" s="28" customFormat="1" ht="15.75" customHeight="1"/>
    <row r="856" s="28" customFormat="1" ht="15.75" customHeight="1"/>
    <row r="857" s="28" customFormat="1" ht="15.75" customHeight="1"/>
    <row r="858" s="28" customFormat="1" ht="15.75" customHeight="1"/>
    <row r="859" s="28" customFormat="1" ht="15.75" customHeight="1"/>
    <row r="860" s="28" customFormat="1" ht="15.75" customHeight="1"/>
    <row r="861" s="28" customFormat="1" ht="15.75" customHeight="1"/>
    <row r="862" s="28" customFormat="1" ht="15.75" customHeight="1"/>
    <row r="863" s="28" customFormat="1" ht="15.75" customHeight="1"/>
    <row r="864" s="28" customFormat="1" ht="15.75" customHeight="1"/>
    <row r="865" s="28" customFormat="1" ht="15.75" customHeight="1"/>
    <row r="866" s="28" customFormat="1" ht="15.75" customHeight="1"/>
    <row r="867" s="28" customFormat="1" ht="15.75" customHeight="1"/>
    <row r="868" s="28" customFormat="1" ht="15.75" customHeight="1"/>
    <row r="869" s="28" customFormat="1" ht="15.75" customHeight="1"/>
    <row r="870" s="28" customFormat="1" ht="15.75" customHeight="1"/>
    <row r="871" s="28" customFormat="1" ht="15.75" customHeight="1"/>
    <row r="872" s="28" customFormat="1" ht="15.75" customHeight="1"/>
    <row r="873" s="28" customFormat="1" ht="15.75" customHeight="1"/>
    <row r="874" s="28" customFormat="1" ht="15.75" customHeight="1"/>
    <row r="875" s="28" customFormat="1" ht="15.75" customHeight="1"/>
    <row r="876" s="28" customFormat="1" ht="15.75" customHeight="1"/>
    <row r="877" s="28" customFormat="1" ht="15.75" customHeight="1"/>
    <row r="878" s="28" customFormat="1" ht="15.75" customHeight="1"/>
    <row r="879" s="28" customFormat="1" ht="15.75" customHeight="1"/>
    <row r="880" s="28" customFormat="1" ht="15.75" customHeight="1"/>
    <row r="881" s="28" customFormat="1" ht="15.75" customHeight="1"/>
    <row r="882" s="28" customFormat="1" ht="15.75" customHeight="1"/>
    <row r="883" s="28" customFormat="1" ht="15.75" customHeight="1"/>
    <row r="884" s="28" customFormat="1" ht="15.75" customHeight="1"/>
    <row r="885" s="28" customFormat="1" ht="15.75" customHeight="1"/>
    <row r="886" s="28" customFormat="1" ht="15.75" customHeight="1"/>
    <row r="887" s="28" customFormat="1" ht="15.75" customHeight="1"/>
    <row r="888" s="28" customFormat="1" ht="15.75" customHeight="1"/>
    <row r="889" s="28" customFormat="1" ht="15.75" customHeight="1"/>
    <row r="890" s="28" customFormat="1" ht="15.75" customHeight="1"/>
    <row r="891" s="28" customFormat="1" ht="15.75" customHeight="1"/>
    <row r="892" s="28" customFormat="1" ht="15.75" customHeight="1"/>
    <row r="893" s="28" customFormat="1" ht="15.75" customHeight="1"/>
    <row r="894" s="28" customFormat="1" ht="15.75" customHeight="1"/>
    <row r="895" s="28" customFormat="1" ht="15.75" customHeight="1"/>
    <row r="896" s="28" customFormat="1" ht="15.75" customHeight="1"/>
    <row r="897" s="28" customFormat="1" ht="15.75" customHeight="1"/>
    <row r="898" s="28" customFormat="1" ht="15.75" customHeight="1"/>
    <row r="899" s="28" customFormat="1" ht="15.75" customHeight="1"/>
    <row r="900" s="28" customFormat="1" ht="15.75" customHeight="1"/>
    <row r="901" s="28" customFormat="1" ht="15.75" customHeight="1"/>
    <row r="902" s="28" customFormat="1" ht="15.75" customHeight="1"/>
    <row r="903" s="28" customFormat="1" ht="15.75" customHeight="1"/>
    <row r="904" s="28" customFormat="1" ht="15.75" customHeight="1"/>
    <row r="905" s="28" customFormat="1" ht="15.75" customHeight="1"/>
    <row r="906" s="28" customFormat="1" ht="15.75" customHeight="1"/>
    <row r="907" s="28" customFormat="1" ht="15.75" customHeight="1"/>
    <row r="908" s="28" customFormat="1" ht="15.75" customHeight="1"/>
    <row r="909" s="28" customFormat="1" ht="15.75" customHeight="1"/>
    <row r="910" s="28" customFormat="1" ht="15.75" customHeight="1"/>
    <row r="911" s="28" customFormat="1" ht="15.75" customHeight="1"/>
    <row r="912" s="28" customFormat="1" ht="15.75" customHeight="1"/>
    <row r="913" s="28" customFormat="1" ht="15.75" customHeight="1"/>
    <row r="914" s="28" customFormat="1" ht="15.75" customHeight="1"/>
    <row r="915" s="28" customFormat="1" ht="15.75" customHeight="1"/>
    <row r="916" s="28" customFormat="1" ht="15.75" customHeight="1"/>
    <row r="917" s="28" customFormat="1" ht="15.75" customHeight="1"/>
    <row r="918" s="28" customFormat="1" ht="15.75" customHeight="1"/>
    <row r="919" s="28" customFormat="1" ht="15.75" customHeight="1"/>
    <row r="920" s="28" customFormat="1" ht="15.75" customHeight="1"/>
    <row r="921" s="28" customFormat="1" ht="15.75" customHeight="1"/>
    <row r="922" s="28" customFormat="1" ht="15.75" customHeight="1"/>
    <row r="923" s="28" customFormat="1" ht="15.75" customHeight="1"/>
    <row r="924" s="28" customFormat="1" ht="15.75" customHeight="1"/>
    <row r="925" s="28" customFormat="1" ht="15.75" customHeight="1"/>
    <row r="926" s="28" customFormat="1" ht="15.75" customHeight="1"/>
    <row r="927" s="28" customFormat="1" ht="15.75" customHeight="1"/>
    <row r="928" s="28" customFormat="1" ht="15.75" customHeight="1"/>
    <row r="929" s="28" customFormat="1" ht="15.75" customHeight="1"/>
    <row r="930" s="28" customFormat="1" ht="15.75" customHeight="1"/>
    <row r="931" s="28" customFormat="1" ht="15.75" customHeight="1"/>
    <row r="932" s="28" customFormat="1" ht="15.75" customHeight="1"/>
    <row r="933" s="28" customFormat="1" ht="15.75" customHeight="1"/>
    <row r="934" s="28" customFormat="1" ht="15.75" customHeight="1"/>
    <row r="935" s="28" customFormat="1" ht="15.75" customHeight="1"/>
    <row r="936" s="28" customFormat="1" ht="15.75" customHeight="1"/>
    <row r="937" s="28" customFormat="1" ht="15.75" customHeight="1"/>
    <row r="938" s="28" customFormat="1" ht="15.75" customHeight="1"/>
    <row r="939" s="28" customFormat="1" ht="15.75" customHeight="1"/>
    <row r="940" s="28" customFormat="1" ht="15.75" customHeight="1"/>
    <row r="941" s="28" customFormat="1" ht="15.75" customHeight="1"/>
    <row r="942" s="28" customFormat="1" ht="15.75" customHeight="1"/>
    <row r="943" s="28" customFormat="1" ht="15.75" customHeight="1"/>
    <row r="944" s="28" customFormat="1" ht="15.75" customHeight="1"/>
    <row r="945" s="28" customFormat="1" ht="15.75" customHeight="1"/>
    <row r="946" s="28" customFormat="1" ht="15.75" customHeight="1"/>
    <row r="947" s="28" customFormat="1" ht="15.75" customHeight="1"/>
    <row r="948" s="28" customFormat="1" ht="15.75" customHeight="1"/>
    <row r="949" s="28" customFormat="1" ht="15.75" customHeight="1"/>
    <row r="950" s="28" customFormat="1" ht="15.75" customHeight="1"/>
    <row r="951" s="28" customFormat="1" ht="15.75" customHeight="1"/>
    <row r="952" s="28" customFormat="1" ht="15.75" customHeight="1"/>
    <row r="953" s="28" customFormat="1" ht="15.75" customHeight="1"/>
    <row r="954" s="28" customFormat="1" ht="15.75" customHeight="1"/>
    <row r="955" s="28" customFormat="1" ht="15.75" customHeight="1"/>
    <row r="956" s="28" customFormat="1" ht="15.75" customHeight="1"/>
    <row r="957" s="28" customFormat="1" ht="15.75" customHeight="1"/>
    <row r="958" s="28" customFormat="1" ht="15.75" customHeight="1"/>
    <row r="959" s="28" customFormat="1" ht="15.75" customHeight="1"/>
    <row r="960" s="28" customFormat="1" ht="15.75" customHeight="1"/>
    <row r="961" s="28" customFormat="1" ht="15.75" customHeight="1"/>
    <row r="962" s="28" customFormat="1" ht="15.75" customHeight="1"/>
    <row r="963" s="28" customFormat="1" ht="15.75" customHeight="1"/>
    <row r="964" s="28" customFormat="1" ht="15.75" customHeight="1"/>
    <row r="965" s="28" customFormat="1" ht="15.75" customHeight="1"/>
    <row r="966" s="28" customFormat="1" ht="15.75" customHeight="1"/>
    <row r="967" s="28" customFormat="1" ht="15.75" customHeight="1"/>
    <row r="968" s="28" customFormat="1" ht="15.75" customHeight="1"/>
    <row r="969" s="28" customFormat="1" ht="15.75" customHeight="1"/>
    <row r="970" s="28" customFormat="1" ht="15.75" customHeight="1"/>
    <row r="971" s="28" customFormat="1" ht="15.75" customHeight="1"/>
    <row r="972" s="28" customFormat="1" ht="15.75" customHeight="1"/>
    <row r="973" s="28" customFormat="1" ht="15.75" customHeight="1"/>
    <row r="974" s="28" customFormat="1" ht="15.75" customHeight="1"/>
    <row r="975" s="28" customFormat="1" ht="15.75" customHeight="1"/>
    <row r="976" s="28" customFormat="1" ht="15.75" customHeight="1"/>
    <row r="977" s="28" customFormat="1" ht="15.75" customHeight="1"/>
    <row r="978" s="28" customFormat="1" ht="15.75" customHeight="1"/>
    <row r="979" s="28" customFormat="1" ht="15.75" customHeight="1"/>
    <row r="980" s="28" customFormat="1" ht="15.75" customHeight="1"/>
    <row r="981" s="28" customFormat="1" ht="15.75" customHeight="1"/>
    <row r="982" s="28" customFormat="1" ht="15.75" customHeight="1"/>
    <row r="983" s="28" customFormat="1" ht="15.75" customHeight="1"/>
    <row r="984" s="28" customFormat="1" ht="15.75" customHeight="1"/>
    <row r="985" s="28" customFormat="1" ht="15.75" customHeight="1"/>
    <row r="986" s="28" customFormat="1" ht="15.75" customHeight="1"/>
    <row r="987" s="28" customFormat="1" ht="15.75" customHeight="1"/>
    <row r="988" s="28" customFormat="1" ht="15.75" customHeight="1"/>
    <row r="989" s="28" customFormat="1" ht="15.75" customHeight="1"/>
    <row r="990" s="28" customFormat="1" ht="15.75" customHeight="1"/>
    <row r="991" s="28" customFormat="1" ht="15.75" customHeight="1"/>
    <row r="992" s="28" customFormat="1" ht="15.75" customHeight="1"/>
    <row r="993" s="28" customFormat="1" ht="15.75" customHeight="1"/>
    <row r="994" s="28" customFormat="1" ht="15.75" customHeight="1"/>
    <row r="995" s="28" customFormat="1" ht="15.75" customHeight="1"/>
    <row r="996" s="28" customFormat="1" ht="15.75" customHeight="1"/>
    <row r="997" s="28" customFormat="1" ht="15.75" customHeight="1"/>
    <row r="998" s="28" customFormat="1" ht="15.75" customHeight="1"/>
    <row r="999" s="28" customFormat="1" ht="15.75" customHeight="1"/>
    <row r="1000" s="28" customFormat="1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120" zoomScaleNormal="120" workbookViewId="0">
      <selection activeCell="G4" sqref="G4"/>
    </sheetView>
  </sheetViews>
  <sheetFormatPr defaultColWidth="14.4545454545455" defaultRowHeight="15" customHeight="1"/>
  <cols>
    <col min="1" max="1" width="4.81818181818182" style="28" customWidth="1"/>
    <col min="2" max="2" width="14.8181818181818" style="28" customWidth="1"/>
    <col min="3" max="3" width="19.2727272727273" style="28" customWidth="1"/>
    <col min="4" max="4" width="11.7272727272727" style="28" customWidth="1"/>
    <col min="5" max="5" width="12.8181818181818" style="28" customWidth="1"/>
    <col min="6" max="6" width="12" style="28" customWidth="1"/>
    <col min="7" max="7" width="16.0909090909091" style="28" customWidth="1"/>
    <col min="8" max="8" width="13.0909090909091" style="28" customWidth="1"/>
    <col min="9" max="9" width="13.2727272727273" style="28" customWidth="1"/>
    <col min="10" max="10" width="14.8181818181818" style="28" customWidth="1"/>
    <col min="11" max="26" width="8.72727272727273" style="28" customWidth="1"/>
    <col min="27" max="16384" width="14.4545454545455" style="28"/>
  </cols>
  <sheetData>
    <row r="1" s="28" customFormat="1" ht="14.5" spans="1:1">
      <c r="A1" s="28" t="s">
        <v>22</v>
      </c>
    </row>
    <row r="2" s="28" customFormat="1" ht="14.5" spans="1:1">
      <c r="A2" s="29" t="s">
        <v>23</v>
      </c>
    </row>
    <row r="3" s="28" customFormat="1" ht="29" spans="1:11">
      <c r="A3" s="30" t="s">
        <v>24</v>
      </c>
      <c r="B3" s="30" t="s">
        <v>25</v>
      </c>
      <c r="C3" s="30" t="s">
        <v>26</v>
      </c>
      <c r="D3" s="30" t="s">
        <v>27</v>
      </c>
      <c r="E3" s="30" t="s">
        <v>28</v>
      </c>
      <c r="F3" s="30" t="s">
        <v>29</v>
      </c>
      <c r="G3" s="30" t="s">
        <v>30</v>
      </c>
      <c r="H3" s="30" t="s">
        <v>31</v>
      </c>
      <c r="I3" s="30" t="s">
        <v>32</v>
      </c>
      <c r="J3" s="30" t="s">
        <v>33</v>
      </c>
      <c r="K3" s="34"/>
    </row>
    <row r="4" s="28" customFormat="1" ht="14.5" spans="1:11">
      <c r="A4" s="31">
        <v>1</v>
      </c>
      <c r="B4" s="31" t="s">
        <v>34</v>
      </c>
      <c r="C4" s="32" t="s">
        <v>35</v>
      </c>
      <c r="D4" s="31" t="str">
        <f t="shared" ref="D4:D13" si="0">IF(--(MID(B4,5,1))=1,"Laki-Laki","Perempuan")</f>
        <v>Laki-Laki</v>
      </c>
      <c r="E4" s="31" t="str">
        <f t="shared" ref="E4:E13" si="1">IF(--MID(B4,6,1)=1,"Islam",IF(--MID(B4,6,1)=2,"Protestan",IF(--MID(B4,6,1)=3,"Katolik",IF(--MID(B4,6,1)=4,"Hindu",IF(--MID(B4,6,1)=5,"Budha")))))</f>
        <v>Islam</v>
      </c>
      <c r="F4" s="31" t="str" cm="1">
        <f t="array" ref="F4">IF(--MID(B4,7,1)=1,"Kawin",IF(--MID(B4,7,1)=2,"Belum Kawin",Tidak Punya Status))</f>
        <v>Kawin</v>
      </c>
      <c r="G4" s="31" t="str" cm="1">
        <f t="array" ref="G4">IF(--MID(B4,8,1)=1,"Sarjana S1",IF(--MID(B4,8,1)=2,"Diploma D3",IF(--MID(B4,8,1)=3,"SMK",Tidak Punya Status)))</f>
        <v>Diploma D3</v>
      </c>
      <c r="H4" s="31" t="str" cm="1">
        <f t="array" ref="H4">IF(--MID(B4,9,1)=1,"Keuangan",IF(--MID(B4,9,1)=2,"Produksi",IF(--MID(B4,9,1)=3,"Marketing",Tidak Punya Bagian)))</f>
        <v>Produksi</v>
      </c>
      <c r="I4" s="31" t="str">
        <f t="shared" ref="I4:I13" si="2">19&amp;RIGHT(B4,2)</f>
        <v>1991</v>
      </c>
      <c r="J4" s="31">
        <f t="shared" ref="J4:J13" si="3">2018-I4</f>
        <v>27</v>
      </c>
      <c r="K4" s="33"/>
    </row>
    <row r="5" s="28" customFormat="1" ht="14.5" spans="1:11">
      <c r="A5" s="31">
        <v>2</v>
      </c>
      <c r="B5" s="31" t="s">
        <v>36</v>
      </c>
      <c r="C5" s="32" t="s">
        <v>37</v>
      </c>
      <c r="D5" s="31" t="str">
        <f t="shared" si="0"/>
        <v>Laki-Laki</v>
      </c>
      <c r="E5" s="31" t="str">
        <f t="shared" si="1"/>
        <v>Protestan</v>
      </c>
      <c r="F5" s="31" t="str" cm="1">
        <f t="array" ref="F5">IF(--MID(B5,7,1)=1,"Kawin",IF(--MID(B5,7,1)=2,"Belum Kawin",Tidak Punya Status))</f>
        <v>Belum Kawin</v>
      </c>
      <c r="G5" s="31" t="str" cm="1">
        <f t="array" ref="G5">IF(--MID(B5,8,1)=1,"Sarjana S1",IF(--MID(B5,8,1)=2,"Diploma D3",IF(--MID(B5,8,1)=3,"SMK",Tidak Punya Status)))</f>
        <v>Sarjana S1</v>
      </c>
      <c r="H5" s="31" t="str" cm="1">
        <f t="array" ref="H5">IF(--MID(B5,9,1)=1,"Keuangan",IF(--MID(B5,9,1)=2,"Produksi",IF(--MID(B5,9,1)=3,"Marketing",Tidak Punya Bagian)))</f>
        <v>Keuangan</v>
      </c>
      <c r="I5" s="31" t="str">
        <f t="shared" si="2"/>
        <v>1993</v>
      </c>
      <c r="J5" s="31">
        <f t="shared" si="3"/>
        <v>25</v>
      </c>
      <c r="K5" s="33"/>
    </row>
    <row r="6" s="28" customFormat="1" ht="14.5" spans="1:11">
      <c r="A6" s="31">
        <v>3</v>
      </c>
      <c r="B6" s="31" t="s">
        <v>38</v>
      </c>
      <c r="C6" s="32" t="s">
        <v>39</v>
      </c>
      <c r="D6" s="31" t="str">
        <f t="shared" si="0"/>
        <v>Perempuan</v>
      </c>
      <c r="E6" s="31" t="str">
        <f t="shared" si="1"/>
        <v>Islam</v>
      </c>
      <c r="F6" s="31" t="str" cm="1">
        <f t="array" ref="F6">IF(--MID(B6,7,1)=1,"Kawin",IF(--MID(B6,7,1)=2,"Belum Kawin",Tidak Punya Status))</f>
        <v>Belum Kawin</v>
      </c>
      <c r="G6" s="31" t="str" cm="1">
        <f t="array" ref="G6">IF(--MID(B6,8,1)=1,"Sarjana S1",IF(--MID(B6,8,1)=2,"Diploma D3",IF(--MID(B6,8,1)=3,"SMK",Tidak Punya Status)))</f>
        <v>Sarjana S1</v>
      </c>
      <c r="H6" s="31" t="str" cm="1">
        <f t="array" ref="H6">IF(--MID(B6,9,1)=1,"Keuangan",IF(--MID(B6,9,1)=2,"Produksi",IF(--MID(B6,9,1)=3,"Marketing",Tidak Punya Bagian)))</f>
        <v>Keuangan</v>
      </c>
      <c r="I6" s="31" t="str">
        <f t="shared" si="2"/>
        <v>1995</v>
      </c>
      <c r="J6" s="31">
        <f t="shared" si="3"/>
        <v>23</v>
      </c>
      <c r="K6" s="33"/>
    </row>
    <row r="7" s="28" customFormat="1" ht="14.5" spans="1:11">
      <c r="A7" s="31">
        <v>4</v>
      </c>
      <c r="B7" s="31" t="s">
        <v>40</v>
      </c>
      <c r="C7" s="32" t="s">
        <v>41</v>
      </c>
      <c r="D7" s="31" t="str">
        <f t="shared" si="0"/>
        <v>Laki-Laki</v>
      </c>
      <c r="E7" s="31" t="str">
        <f t="shared" si="1"/>
        <v>Katolik</v>
      </c>
      <c r="F7" s="31" t="str" cm="1">
        <f t="array" ref="F7">IF(--MID(B7,7,1)=1,"Kawin",IF(--MID(B7,7,1)=2,"Belum Kawin",Tidak Punya Status))</f>
        <v>Kawin</v>
      </c>
      <c r="G7" s="31" t="str" cm="1">
        <f t="array" ref="G7">IF(--MID(B7,8,1)=1,"Sarjana S1",IF(--MID(B7,8,1)=2,"Diploma D3",IF(--MID(B7,8,1)=3,"SMK",Tidak Punya Status)))</f>
        <v>SMK</v>
      </c>
      <c r="H7" s="31" t="str" cm="1">
        <f t="array" ref="H7">IF(--MID(B7,9,1)=1,"Keuangan",IF(--MID(B7,9,1)=2,"Produksi",IF(--MID(B7,9,1)=3,"Marketing",Tidak Punya Bagian)))</f>
        <v>Marketing</v>
      </c>
      <c r="I7" s="31" t="str">
        <f t="shared" si="2"/>
        <v>1990</v>
      </c>
      <c r="J7" s="31">
        <f t="shared" si="3"/>
        <v>28</v>
      </c>
      <c r="K7" s="33"/>
    </row>
    <row r="8" s="28" customFormat="1" ht="14.5" spans="1:11">
      <c r="A8" s="31">
        <v>5</v>
      </c>
      <c r="B8" s="31" t="s">
        <v>42</v>
      </c>
      <c r="C8" s="32" t="s">
        <v>43</v>
      </c>
      <c r="D8" s="31" t="str">
        <f t="shared" si="0"/>
        <v>Perempuan</v>
      </c>
      <c r="E8" s="31" t="str">
        <f t="shared" si="1"/>
        <v>Islam</v>
      </c>
      <c r="F8" s="31" t="str" cm="1">
        <f t="array" ref="F8">IF(--MID(B8,7,1)=1,"Kawin",IF(--MID(B8,7,1)=2,"Belum Kawin",Tidak Punya Status))</f>
        <v>Kawin</v>
      </c>
      <c r="G8" s="31" t="str" cm="1">
        <f t="array" ref="G8">IF(--MID(B8,8,1)=1,"Sarjana S1",IF(--MID(B8,8,1)=2,"Diploma D3",IF(--MID(B8,8,1)=3,"SMK",Tidak Punya Status)))</f>
        <v>SMK</v>
      </c>
      <c r="H8" s="31" t="str" cm="1">
        <f t="array" ref="H8">IF(--MID(B8,9,1)=1,"Keuangan",IF(--MID(B8,9,1)=2,"Produksi",IF(--MID(B8,9,1)=3,"Marketing",Tidak Punya Bagian)))</f>
        <v>Marketing</v>
      </c>
      <c r="I8" s="31" t="str">
        <f t="shared" si="2"/>
        <v>1997</v>
      </c>
      <c r="J8" s="31">
        <f t="shared" si="3"/>
        <v>21</v>
      </c>
      <c r="K8" s="33"/>
    </row>
    <row r="9" s="28" customFormat="1" ht="14.5" spans="1:11">
      <c r="A9" s="31">
        <v>6</v>
      </c>
      <c r="B9" s="31" t="s">
        <v>44</v>
      </c>
      <c r="C9" s="32" t="s">
        <v>45</v>
      </c>
      <c r="D9" s="31" t="str">
        <f t="shared" si="0"/>
        <v>Laki-Laki</v>
      </c>
      <c r="E9" s="31" t="str">
        <f t="shared" si="1"/>
        <v>Hindu</v>
      </c>
      <c r="F9" s="31" t="str" cm="1">
        <f t="array" ref="F9">IF(--MID(B9,7,1)=1,"Kawin",IF(--MID(B9,7,1)=2,"Belum Kawin",Tidak Punya Status))</f>
        <v>Belum Kawin</v>
      </c>
      <c r="G9" s="31" t="str" cm="1">
        <f t="array" ref="G9">IF(--MID(B9,8,1)=1,"Sarjana S1",IF(--MID(B9,8,1)=2,"Diploma D3",IF(--MID(B9,8,1)=3,"SMK",Tidak Punya Status)))</f>
        <v>SMK</v>
      </c>
      <c r="H9" s="31" t="str" cm="1">
        <f t="array" ref="H9">IF(--MID(B9,9,1)=1,"Keuangan",IF(--MID(B9,9,1)=2,"Produksi",IF(--MID(B9,9,1)=3,"Marketing",Tidak Punya Bagian)))</f>
        <v>Produksi</v>
      </c>
      <c r="I9" s="31" t="str">
        <f t="shared" si="2"/>
        <v>1996</v>
      </c>
      <c r="J9" s="31">
        <f t="shared" si="3"/>
        <v>22</v>
      </c>
      <c r="K9" s="33"/>
    </row>
    <row r="10" s="28" customFormat="1" ht="14.5" spans="1:11">
      <c r="A10" s="31">
        <v>7</v>
      </c>
      <c r="B10" s="31" t="s">
        <v>46</v>
      </c>
      <c r="C10" s="32" t="s">
        <v>47</v>
      </c>
      <c r="D10" s="31" t="str">
        <f t="shared" si="0"/>
        <v>Perempuan</v>
      </c>
      <c r="E10" s="31" t="str">
        <f t="shared" si="1"/>
        <v>Islam</v>
      </c>
      <c r="F10" s="31" t="str" cm="1">
        <f t="array" ref="F10">IF(--MID(B10,7,1)=1,"Kawin",IF(--MID(B10,7,1)=2,"Belum Kawin",Tidak Punya Status))</f>
        <v>Kawin</v>
      </c>
      <c r="G10" s="31" t="str" cm="1">
        <f t="array" ref="G10">IF(--MID(B10,8,1)=1,"Sarjana S1",IF(--MID(B10,8,1)=2,"Diploma D3",IF(--MID(B10,8,1)=3,"SMK",Tidak Punya Status)))</f>
        <v>Diploma D3</v>
      </c>
      <c r="H10" s="31" t="str" cm="1">
        <f t="array" ref="H10">IF(--MID(B10,9,1)=1,"Keuangan",IF(--MID(B10,9,1)=2,"Produksi",IF(--MID(B10,9,1)=3,"Marketing",Tidak Punya Bagian)))</f>
        <v>Produksi</v>
      </c>
      <c r="I10" s="31" t="str">
        <f t="shared" si="2"/>
        <v>1998</v>
      </c>
      <c r="J10" s="31">
        <f t="shared" si="3"/>
        <v>20</v>
      </c>
      <c r="K10" s="33"/>
    </row>
    <row r="11" s="28" customFormat="1" ht="14.5" spans="1:11">
      <c r="A11" s="31">
        <v>8</v>
      </c>
      <c r="B11" s="31" t="s">
        <v>48</v>
      </c>
      <c r="C11" s="32" t="s">
        <v>49</v>
      </c>
      <c r="D11" s="31" t="str">
        <f t="shared" si="0"/>
        <v>Perempuan</v>
      </c>
      <c r="E11" s="31" t="str">
        <f t="shared" si="1"/>
        <v>Budha</v>
      </c>
      <c r="F11" s="31" t="str" cm="1">
        <f t="array" ref="F11">IF(--MID(B11,7,1)=1,"Kawin",IF(--MID(B11,7,1)=2,"Belum Kawin",Tidak Punya Status))</f>
        <v>Belum Kawin</v>
      </c>
      <c r="G11" s="31" t="str" cm="1">
        <f t="array" ref="G11">IF(--MID(B11,8,1)=1,"Sarjana S1",IF(--MID(B11,8,1)=2,"Diploma D3",IF(--MID(B11,8,1)=3,"SMK",Tidak Punya Status)))</f>
        <v>SMK</v>
      </c>
      <c r="H11" s="31" t="str" cm="1">
        <f t="array" ref="H11">IF(--MID(B11,9,1)=1,"Keuangan",IF(--MID(B11,9,1)=2,"Produksi",IF(--MID(B11,9,1)=3,"Marketing",Tidak Punya Bagian)))</f>
        <v>Marketing</v>
      </c>
      <c r="I11" s="31" t="str">
        <f t="shared" si="2"/>
        <v>1994</v>
      </c>
      <c r="J11" s="31">
        <f t="shared" si="3"/>
        <v>24</v>
      </c>
      <c r="K11" s="33"/>
    </row>
    <row r="12" s="28" customFormat="1" ht="14.5" spans="1:11">
      <c r="A12" s="31">
        <v>9</v>
      </c>
      <c r="B12" s="31" t="s">
        <v>50</v>
      </c>
      <c r="C12" s="32" t="s">
        <v>51</v>
      </c>
      <c r="D12" s="31" t="str">
        <f t="shared" si="0"/>
        <v>Laki-Laki</v>
      </c>
      <c r="E12" s="31" t="str">
        <f t="shared" si="1"/>
        <v>Islam</v>
      </c>
      <c r="F12" s="31" t="str" cm="1">
        <f t="array" ref="F12">IF(--MID(B12,7,1)=1,"Kawin",IF(--MID(B12,7,1)=2,"Belum Kawin",Tidak Punya Status))</f>
        <v>Kawin</v>
      </c>
      <c r="G12" s="31" t="str" cm="1">
        <f t="array" ref="G12">IF(--MID(B12,8,1)=1,"Sarjana S1",IF(--MID(B12,8,1)=2,"Diploma D3",IF(--MID(B12,8,1)=3,"SMK",Tidak Punya Status)))</f>
        <v>SMK</v>
      </c>
      <c r="H12" s="31" t="str" cm="1">
        <f t="array" ref="H12">IF(--MID(B12,9,1)=1,"Keuangan",IF(--MID(B12,9,1)=2,"Produksi",IF(--MID(B12,9,1)=3,"Marketing",Tidak Punya Bagian)))</f>
        <v>Marketing</v>
      </c>
      <c r="I12" s="31" t="str">
        <f t="shared" si="2"/>
        <v>1992</v>
      </c>
      <c r="J12" s="31">
        <f t="shared" si="3"/>
        <v>26</v>
      </c>
      <c r="K12" s="33"/>
    </row>
    <row r="13" s="28" customFormat="1" ht="14.5" spans="1:11">
      <c r="A13" s="31">
        <v>10</v>
      </c>
      <c r="B13" s="31" t="s">
        <v>52</v>
      </c>
      <c r="C13" s="32" t="s">
        <v>53</v>
      </c>
      <c r="D13" s="31" t="str">
        <f t="shared" si="0"/>
        <v>Laki-Laki</v>
      </c>
      <c r="E13" s="31" t="str">
        <f t="shared" si="1"/>
        <v>Islam</v>
      </c>
      <c r="F13" s="31" t="str" cm="1">
        <f t="array" ref="F13">IF(--MID(B13,7,1)=1,"Kawin",IF(--MID(B13,7,1)=2,"Belum Kawin",Tidak Punya Status))</f>
        <v>Belum Kawin</v>
      </c>
      <c r="G13" s="31" t="str" cm="1">
        <f t="array" ref="G13">IF(--MID(B13,8,1)=1,"Sarjana S1",IF(--MID(B13,8,1)=2,"Diploma D3",IF(--MID(B13,8,1)=3,"SMK",Tidak Punya Status)))</f>
        <v>Diploma D3</v>
      </c>
      <c r="H13" s="31" t="str" cm="1">
        <f t="array" ref="H13">IF(--MID(B13,9,1)=1,"Keuangan",IF(--MID(B13,9,1)=2,"Produksi",IF(--MID(B13,9,1)=3,"Marketing",Tidak Punya Bagian)))</f>
        <v>Marketing</v>
      </c>
      <c r="I13" s="31" t="str">
        <f t="shared" si="2"/>
        <v>1999</v>
      </c>
      <c r="J13" s="31">
        <f t="shared" si="3"/>
        <v>19</v>
      </c>
      <c r="K13" s="33"/>
    </row>
    <row r="15" s="28" customFormat="1" ht="14.5" spans="2:2">
      <c r="B15" s="33"/>
    </row>
    <row r="21" s="28" customFormat="1" ht="15.75" customHeight="1"/>
    <row r="22" s="28" customFormat="1" ht="15.75" customHeight="1"/>
    <row r="23" s="28" customFormat="1" ht="15.75" customHeight="1"/>
    <row r="24" s="28" customFormat="1" ht="15.75" customHeight="1"/>
    <row r="25" s="28" customFormat="1" ht="15.75" customHeight="1"/>
    <row r="26" s="28" customFormat="1" ht="15.75" customHeight="1"/>
    <row r="27" s="28" customFormat="1" ht="15.75" customHeight="1"/>
    <row r="28" s="28" customFormat="1" ht="15.75" customHeight="1"/>
    <row r="29" s="28" customFormat="1" ht="15.75" customHeight="1"/>
    <row r="30" s="28" customFormat="1" ht="15.75" customHeight="1"/>
    <row r="31" s="28" customFormat="1" ht="15.75" customHeight="1"/>
    <row r="32" s="28" customFormat="1" ht="15.75" customHeight="1"/>
    <row r="33" s="28" customFormat="1" ht="15.75" customHeight="1"/>
    <row r="34" s="28" customFormat="1" ht="15.75" customHeight="1"/>
    <row r="35" s="28" customFormat="1" ht="15.75" customHeight="1"/>
    <row r="36" s="28" customFormat="1" ht="15.75" customHeight="1"/>
    <row r="37" s="28" customFormat="1" ht="15.75" customHeight="1"/>
    <row r="38" s="28" customFormat="1" ht="15.75" customHeight="1"/>
    <row r="39" s="28" customFormat="1" ht="15.75" customHeight="1"/>
    <row r="40" s="28" customFormat="1" ht="15.75" customHeight="1"/>
    <row r="41" s="28" customFormat="1" ht="15.75" customHeight="1"/>
    <row r="42" s="28" customFormat="1" ht="15.75" customHeight="1"/>
    <row r="43" s="28" customFormat="1" ht="15.75" customHeight="1"/>
    <row r="44" s="28" customFormat="1" ht="15.75" customHeight="1"/>
    <row r="45" s="28" customFormat="1" ht="15.75" customHeight="1"/>
    <row r="46" s="28" customFormat="1" ht="15.75" customHeight="1"/>
    <row r="47" s="28" customFormat="1" ht="15.75" customHeight="1"/>
    <row r="48" s="28" customFormat="1" ht="15.75" customHeight="1"/>
    <row r="49" s="28" customFormat="1" ht="15.75" customHeight="1"/>
    <row r="50" s="28" customFormat="1" ht="15.75" customHeight="1"/>
    <row r="51" s="28" customFormat="1" ht="15.75" customHeight="1"/>
    <row r="52" s="28" customFormat="1" ht="15.75" customHeight="1"/>
    <row r="53" s="28" customFormat="1" ht="15.75" customHeight="1"/>
    <row r="54" s="28" customFormat="1" ht="15.75" customHeight="1"/>
    <row r="55" s="28" customFormat="1" ht="15.75" customHeight="1"/>
    <row r="56" s="28" customFormat="1" ht="15.75" customHeight="1"/>
    <row r="57" s="28" customFormat="1" ht="15.75" customHeight="1"/>
    <row r="58" s="28" customFormat="1" ht="15.75" customHeight="1"/>
    <row r="59" s="28" customFormat="1" ht="15.75" customHeight="1"/>
    <row r="60" s="28" customFormat="1" ht="15.75" customHeight="1"/>
    <row r="61" s="28" customFormat="1" ht="15.75" customHeight="1"/>
    <row r="62" s="28" customFormat="1" ht="15.75" customHeight="1"/>
    <row r="63" s="28" customFormat="1" ht="15.75" customHeight="1"/>
    <row r="64" s="28" customFormat="1" ht="15.75" customHeight="1"/>
    <row r="65" s="28" customFormat="1" ht="15.75" customHeight="1"/>
    <row r="66" s="28" customFormat="1" ht="15.75" customHeight="1"/>
    <row r="67" s="28" customFormat="1" ht="15.75" customHeight="1"/>
    <row r="68" s="28" customFormat="1" ht="15.75" customHeight="1"/>
    <row r="69" s="28" customFormat="1" ht="15.75" customHeight="1"/>
    <row r="70" s="28" customFormat="1" ht="15.75" customHeight="1"/>
    <row r="71" s="28" customFormat="1" ht="15.75" customHeight="1"/>
    <row r="72" s="28" customFormat="1" ht="15.75" customHeight="1"/>
    <row r="73" s="28" customFormat="1" ht="15.75" customHeight="1"/>
    <row r="74" s="28" customFormat="1" ht="15.75" customHeight="1"/>
    <row r="75" s="28" customFormat="1" ht="15.75" customHeight="1"/>
    <row r="76" s="28" customFormat="1" ht="15.75" customHeight="1"/>
    <row r="77" s="28" customFormat="1" ht="15.75" customHeight="1"/>
    <row r="78" s="28" customFormat="1" ht="15.75" customHeight="1"/>
    <row r="79" s="28" customFormat="1" ht="15.75" customHeight="1"/>
    <row r="80" s="28" customFormat="1" ht="15.75" customHeight="1"/>
    <row r="81" s="28" customFormat="1" ht="15.75" customHeight="1"/>
    <row r="82" s="28" customFormat="1" ht="15.75" customHeight="1"/>
    <row r="83" s="28" customFormat="1" ht="15.75" customHeight="1"/>
    <row r="84" s="28" customFormat="1" ht="15.75" customHeight="1"/>
    <row r="85" s="28" customFormat="1" ht="15.75" customHeight="1"/>
    <row r="86" s="28" customFormat="1" ht="15.75" customHeight="1"/>
    <row r="87" s="28" customFormat="1" ht="15.75" customHeight="1"/>
    <row r="88" s="28" customFormat="1" ht="15.75" customHeight="1"/>
    <row r="89" s="28" customFormat="1" ht="15.75" customHeight="1"/>
    <row r="90" s="28" customFormat="1" ht="15.75" customHeight="1"/>
    <row r="91" s="28" customFormat="1" ht="15.75" customHeight="1"/>
    <row r="92" s="28" customFormat="1" ht="15.75" customHeight="1"/>
    <row r="93" s="28" customFormat="1" ht="15.75" customHeight="1"/>
    <row r="94" s="28" customFormat="1" ht="15.75" customHeight="1"/>
    <row r="95" s="28" customFormat="1" ht="15.75" customHeight="1"/>
    <row r="96" s="28" customFormat="1" ht="15.75" customHeight="1"/>
    <row r="97" s="28" customFormat="1" ht="15.75" customHeight="1"/>
    <row r="98" s="28" customFormat="1" ht="15.75" customHeight="1"/>
    <row r="99" s="28" customFormat="1" ht="15.75" customHeight="1"/>
    <row r="100" s="28" customFormat="1" ht="15.75" customHeight="1"/>
    <row r="101" s="28" customFormat="1" ht="15.75" customHeight="1"/>
    <row r="102" s="28" customFormat="1" ht="15.75" customHeight="1"/>
    <row r="103" s="28" customFormat="1" ht="15.75" customHeight="1"/>
    <row r="104" s="28" customFormat="1" ht="15.75" customHeight="1"/>
    <row r="105" s="28" customFormat="1" ht="15.75" customHeight="1"/>
    <row r="106" s="28" customFormat="1" ht="15.75" customHeight="1"/>
    <row r="107" s="28" customFormat="1" ht="15.75" customHeight="1"/>
    <row r="108" s="28" customFormat="1" ht="15.75" customHeight="1"/>
    <row r="109" s="28" customFormat="1" ht="15.75" customHeight="1"/>
    <row r="110" s="28" customFormat="1" ht="15.75" customHeight="1"/>
    <row r="111" s="28" customFormat="1" ht="15.75" customHeight="1"/>
    <row r="112" s="28" customFormat="1" ht="15.75" customHeight="1"/>
    <row r="113" s="28" customFormat="1" ht="15.75" customHeight="1"/>
    <row r="114" s="28" customFormat="1" ht="15.75" customHeight="1"/>
    <row r="115" s="28" customFormat="1" ht="15.75" customHeight="1"/>
    <row r="116" s="28" customFormat="1" ht="15.75" customHeight="1"/>
    <row r="117" s="28" customFormat="1" ht="15.75" customHeight="1"/>
    <row r="118" s="28" customFormat="1" ht="15.75" customHeight="1"/>
    <row r="119" s="28" customFormat="1" ht="15.75" customHeight="1"/>
    <row r="120" s="28" customFormat="1" ht="15.75" customHeight="1"/>
    <row r="121" s="28" customFormat="1" ht="15.75" customHeight="1"/>
    <row r="122" s="28" customFormat="1" ht="15.75" customHeight="1"/>
    <row r="123" s="28" customFormat="1" ht="15.75" customHeight="1"/>
    <row r="124" s="28" customFormat="1" ht="15.75" customHeight="1"/>
    <row r="125" s="28" customFormat="1" ht="15.75" customHeight="1"/>
    <row r="126" s="28" customFormat="1" ht="15.75" customHeight="1"/>
    <row r="127" s="28" customFormat="1" ht="15.75" customHeight="1"/>
    <row r="128" s="28" customFormat="1" ht="15.75" customHeight="1"/>
    <row r="129" s="28" customFormat="1" ht="15.75" customHeight="1"/>
    <row r="130" s="28" customFormat="1" ht="15.75" customHeight="1"/>
    <row r="131" s="28" customFormat="1" ht="15.75" customHeight="1"/>
    <row r="132" s="28" customFormat="1" ht="15.75" customHeight="1"/>
    <row r="133" s="28" customFormat="1" ht="15.75" customHeight="1"/>
    <row r="134" s="28" customFormat="1" ht="15.75" customHeight="1"/>
    <row r="135" s="28" customFormat="1" ht="15.75" customHeight="1"/>
    <row r="136" s="28" customFormat="1" ht="15.75" customHeight="1"/>
    <row r="137" s="28" customFormat="1" ht="15.75" customHeight="1"/>
    <row r="138" s="28" customFormat="1" ht="15.75" customHeight="1"/>
    <row r="139" s="28" customFormat="1" ht="15.75" customHeight="1"/>
    <row r="140" s="28" customFormat="1" ht="15.75" customHeight="1"/>
    <row r="141" s="28" customFormat="1" ht="15.75" customHeight="1"/>
    <row r="142" s="28" customFormat="1" ht="15.75" customHeight="1"/>
    <row r="143" s="28" customFormat="1" ht="15.75" customHeight="1"/>
    <row r="144" s="28" customFormat="1" ht="15.75" customHeight="1"/>
    <row r="145" s="28" customFormat="1" ht="15.75" customHeight="1"/>
    <row r="146" s="28" customFormat="1" ht="15.75" customHeight="1"/>
    <row r="147" s="28" customFormat="1" ht="15.75" customHeight="1"/>
    <row r="148" s="28" customFormat="1" ht="15.75" customHeight="1"/>
    <row r="149" s="28" customFormat="1" ht="15.75" customHeight="1"/>
    <row r="150" s="28" customFormat="1" ht="15.75" customHeight="1"/>
    <row r="151" s="28" customFormat="1" ht="15.75" customHeight="1"/>
    <row r="152" s="28" customFormat="1" ht="15.75" customHeight="1"/>
    <row r="153" s="28" customFormat="1" ht="15.75" customHeight="1"/>
    <row r="154" s="28" customFormat="1" ht="15.75" customHeight="1"/>
    <row r="155" s="28" customFormat="1" ht="15.75" customHeight="1"/>
    <row r="156" s="28" customFormat="1" ht="15.75" customHeight="1"/>
    <row r="157" s="28" customFormat="1" ht="15.75" customHeight="1"/>
    <row r="158" s="28" customFormat="1" ht="15.75" customHeight="1"/>
    <row r="159" s="28" customFormat="1" ht="15.75" customHeight="1"/>
    <row r="160" s="28" customFormat="1" ht="15.75" customHeight="1"/>
    <row r="161" s="28" customFormat="1" ht="15.75" customHeight="1"/>
    <row r="162" s="28" customFormat="1" ht="15.75" customHeight="1"/>
    <row r="163" s="28" customFormat="1" ht="15.75" customHeight="1"/>
    <row r="164" s="28" customFormat="1" ht="15.75" customHeight="1"/>
    <row r="165" s="28" customFormat="1" ht="15.75" customHeight="1"/>
    <row r="166" s="28" customFormat="1" ht="15.75" customHeight="1"/>
    <row r="167" s="28" customFormat="1" ht="15.75" customHeight="1"/>
    <row r="168" s="28" customFormat="1" ht="15.75" customHeight="1"/>
    <row r="169" s="28" customFormat="1" ht="15.75" customHeight="1"/>
    <row r="170" s="28" customFormat="1" ht="15.75" customHeight="1"/>
    <row r="171" s="28" customFormat="1" ht="15.75" customHeight="1"/>
    <row r="172" s="28" customFormat="1" ht="15.75" customHeight="1"/>
    <row r="173" s="28" customFormat="1" ht="15.75" customHeight="1"/>
    <row r="174" s="28" customFormat="1" ht="15.75" customHeight="1"/>
    <row r="175" s="28" customFormat="1" ht="15.75" customHeight="1"/>
    <row r="176" s="28" customFormat="1" ht="15.75" customHeight="1"/>
    <row r="177" s="28" customFormat="1" ht="15.75" customHeight="1"/>
    <row r="178" s="28" customFormat="1" ht="15.75" customHeight="1"/>
    <row r="179" s="28" customFormat="1" ht="15.75" customHeight="1"/>
    <row r="180" s="28" customFormat="1" ht="15.75" customHeight="1"/>
    <row r="181" s="28" customFormat="1" ht="15.75" customHeight="1"/>
    <row r="182" s="28" customFormat="1" ht="15.75" customHeight="1"/>
    <row r="183" s="28" customFormat="1" ht="15.75" customHeight="1"/>
    <row r="184" s="28" customFormat="1" ht="15.75" customHeight="1"/>
    <row r="185" s="28" customFormat="1" ht="15.75" customHeight="1"/>
    <row r="186" s="28" customFormat="1" ht="15.75" customHeight="1"/>
    <row r="187" s="28" customFormat="1" ht="15.75" customHeight="1"/>
    <row r="188" s="28" customFormat="1" ht="15.75" customHeight="1"/>
    <row r="189" s="28" customFormat="1" ht="15.75" customHeight="1"/>
    <row r="190" s="28" customFormat="1" ht="15.75" customHeight="1"/>
    <row r="191" s="28" customFormat="1" ht="15.75" customHeight="1"/>
    <row r="192" s="28" customFormat="1" ht="15.75" customHeight="1"/>
    <row r="193" s="28" customFormat="1" ht="15.75" customHeight="1"/>
    <row r="194" s="28" customFormat="1" ht="15.75" customHeight="1"/>
    <row r="195" s="28" customFormat="1" ht="15.75" customHeight="1"/>
    <row r="196" s="28" customFormat="1" ht="15.75" customHeight="1"/>
    <row r="197" s="28" customFormat="1" ht="15.75" customHeight="1"/>
    <row r="198" s="28" customFormat="1" ht="15.75" customHeight="1"/>
    <row r="199" s="28" customFormat="1" ht="15.75" customHeight="1"/>
    <row r="200" s="28" customFormat="1" ht="15.75" customHeight="1"/>
    <row r="201" s="28" customFormat="1" ht="15.75" customHeight="1"/>
    <row r="202" s="28" customFormat="1" ht="15.75" customHeight="1"/>
    <row r="203" s="28" customFormat="1" ht="15.75" customHeight="1"/>
    <row r="204" s="28" customFormat="1" ht="15.75" customHeight="1"/>
    <row r="205" s="28" customFormat="1" ht="15.75" customHeight="1"/>
    <row r="206" s="28" customFormat="1" ht="15.75" customHeight="1"/>
    <row r="207" s="28" customFormat="1" ht="15.75" customHeight="1"/>
    <row r="208" s="28" customFormat="1" ht="15.75" customHeight="1"/>
    <row r="209" s="28" customFormat="1" ht="15.75" customHeight="1"/>
    <row r="210" s="28" customFormat="1" ht="15.75" customHeight="1"/>
    <row r="211" s="28" customFormat="1" ht="15.75" customHeight="1"/>
    <row r="212" s="28" customFormat="1" ht="15.75" customHeight="1"/>
    <row r="213" s="28" customFormat="1" ht="15.75" customHeight="1"/>
    <row r="214" s="28" customFormat="1" ht="15.75" customHeight="1"/>
    <row r="215" s="28" customFormat="1" ht="15.75" customHeight="1"/>
    <row r="216" s="28" customFormat="1" ht="15.75" customHeight="1"/>
    <row r="217" s="28" customFormat="1" ht="15.75" customHeight="1"/>
    <row r="218" s="28" customFormat="1" ht="15.75" customHeight="1"/>
    <row r="219" s="28" customFormat="1" ht="15.75" customHeight="1"/>
    <row r="220" s="28" customFormat="1" ht="15.75" customHeight="1"/>
    <row r="221" s="28" customFormat="1" ht="15.75" customHeight="1"/>
    <row r="222" s="28" customFormat="1" ht="15.75" customHeight="1"/>
    <row r="223" s="28" customFormat="1" ht="15.75" customHeight="1"/>
    <row r="224" s="28" customFormat="1" ht="15.75" customHeight="1"/>
    <row r="225" s="28" customFormat="1" ht="15.75" customHeight="1"/>
    <row r="226" s="28" customFormat="1" ht="15.75" customHeight="1"/>
    <row r="227" s="28" customFormat="1" ht="15.75" customHeight="1"/>
    <row r="228" s="28" customFormat="1" ht="15.75" customHeight="1"/>
    <row r="229" s="28" customFormat="1" ht="15.75" customHeight="1"/>
    <row r="230" s="28" customFormat="1" ht="15.75" customHeight="1"/>
    <row r="231" s="28" customFormat="1" ht="15.75" customHeight="1"/>
    <row r="232" s="28" customFormat="1" ht="15.75" customHeight="1"/>
    <row r="233" s="28" customFormat="1" ht="15.75" customHeight="1"/>
    <row r="234" s="28" customFormat="1" ht="15.75" customHeight="1"/>
    <row r="235" s="28" customFormat="1" ht="15.75" customHeight="1"/>
    <row r="236" s="28" customFormat="1" ht="15.75" customHeight="1"/>
    <row r="237" s="28" customFormat="1" ht="15.75" customHeight="1"/>
    <row r="238" s="28" customFormat="1" ht="15.75" customHeight="1"/>
    <row r="239" s="28" customFormat="1" ht="15.75" customHeight="1"/>
    <row r="240" s="28" customFormat="1" ht="15.75" customHeight="1"/>
    <row r="241" s="28" customFormat="1" ht="15.75" customHeight="1"/>
    <row r="242" s="28" customFormat="1" ht="15.75" customHeight="1"/>
    <row r="243" s="28" customFormat="1" ht="15.75" customHeight="1"/>
    <row r="244" s="28" customFormat="1" ht="15.75" customHeight="1"/>
    <row r="245" s="28" customFormat="1" ht="15.75" customHeight="1"/>
    <row r="246" s="28" customFormat="1" ht="15.75" customHeight="1"/>
    <row r="247" s="28" customFormat="1" ht="15.75" customHeight="1"/>
    <row r="248" s="28" customFormat="1" ht="15.75" customHeight="1"/>
    <row r="249" s="28" customFormat="1" ht="15.75" customHeight="1"/>
    <row r="250" s="28" customFormat="1" ht="15.75" customHeight="1"/>
    <row r="251" s="28" customFormat="1" ht="15.75" customHeight="1"/>
    <row r="252" s="28" customFormat="1" ht="15.75" customHeight="1"/>
    <row r="253" s="28" customFormat="1" ht="15.75" customHeight="1"/>
    <row r="254" s="28" customFormat="1" ht="15.75" customHeight="1"/>
    <row r="255" s="28" customFormat="1" ht="15.75" customHeight="1"/>
    <row r="256" s="28" customFormat="1" ht="15.75" customHeight="1"/>
    <row r="257" s="28" customFormat="1" ht="15.75" customHeight="1"/>
    <row r="258" s="28" customFormat="1" ht="15.75" customHeight="1"/>
    <row r="259" s="28" customFormat="1" ht="15.75" customHeight="1"/>
    <row r="260" s="28" customFormat="1" ht="15.75" customHeight="1"/>
    <row r="261" s="28" customFormat="1" ht="15.75" customHeight="1"/>
    <row r="262" s="28" customFormat="1" ht="15.75" customHeight="1"/>
    <row r="263" s="28" customFormat="1" ht="15.75" customHeight="1"/>
    <row r="264" s="28" customFormat="1" ht="15.75" customHeight="1"/>
    <row r="265" s="28" customFormat="1" ht="15.75" customHeight="1"/>
    <row r="266" s="28" customFormat="1" ht="15.75" customHeight="1"/>
    <row r="267" s="28" customFormat="1" ht="15.75" customHeight="1"/>
    <row r="268" s="28" customFormat="1" ht="15.75" customHeight="1"/>
    <row r="269" s="28" customFormat="1" ht="15.75" customHeight="1"/>
    <row r="270" s="28" customFormat="1" ht="15.75" customHeight="1"/>
    <row r="271" s="28" customFormat="1" ht="15.75" customHeight="1"/>
    <row r="272" s="28" customFormat="1" ht="15.75" customHeight="1"/>
    <row r="273" s="28" customFormat="1" ht="15.75" customHeight="1"/>
    <row r="274" s="28" customFormat="1" ht="15.75" customHeight="1"/>
    <row r="275" s="28" customFormat="1" ht="15.75" customHeight="1"/>
    <row r="276" s="28" customFormat="1" ht="15.75" customHeight="1"/>
    <row r="277" s="28" customFormat="1" ht="15.75" customHeight="1"/>
    <row r="278" s="28" customFormat="1" ht="15.75" customHeight="1"/>
    <row r="279" s="28" customFormat="1" ht="15.75" customHeight="1"/>
    <row r="280" s="28" customFormat="1" ht="15.75" customHeight="1"/>
    <row r="281" s="28" customFormat="1" ht="15.75" customHeight="1"/>
    <row r="282" s="28" customFormat="1" ht="15.75" customHeight="1"/>
    <row r="283" s="28" customFormat="1" ht="15.75" customHeight="1"/>
    <row r="284" s="28" customFormat="1" ht="15.75" customHeight="1"/>
    <row r="285" s="28" customFormat="1" ht="15.75" customHeight="1"/>
    <row r="286" s="28" customFormat="1" ht="15.75" customHeight="1"/>
    <row r="287" s="28" customFormat="1" ht="15.75" customHeight="1"/>
    <row r="288" s="28" customFormat="1" ht="15.75" customHeight="1"/>
    <row r="289" s="28" customFormat="1" ht="15.75" customHeight="1"/>
    <row r="290" s="28" customFormat="1" ht="15.75" customHeight="1"/>
    <row r="291" s="28" customFormat="1" ht="15.75" customHeight="1"/>
    <row r="292" s="28" customFormat="1" ht="15.75" customHeight="1"/>
    <row r="293" s="28" customFormat="1" ht="15.75" customHeight="1"/>
    <row r="294" s="28" customFormat="1" ht="15.75" customHeight="1"/>
    <row r="295" s="28" customFormat="1" ht="15.75" customHeight="1"/>
    <row r="296" s="28" customFormat="1" ht="15.75" customHeight="1"/>
    <row r="297" s="28" customFormat="1" ht="15.75" customHeight="1"/>
    <row r="298" s="28" customFormat="1" ht="15.75" customHeight="1"/>
    <row r="299" s="28" customFormat="1" ht="15.75" customHeight="1"/>
    <row r="300" s="28" customFormat="1" ht="15.75" customHeight="1"/>
    <row r="301" s="28" customFormat="1" ht="15.75" customHeight="1"/>
    <row r="302" s="28" customFormat="1" ht="15.75" customHeight="1"/>
    <row r="303" s="28" customFormat="1" ht="15.75" customHeight="1"/>
    <row r="304" s="28" customFormat="1" ht="15.75" customHeight="1"/>
    <row r="305" s="28" customFormat="1" ht="15.75" customHeight="1"/>
    <row r="306" s="28" customFormat="1" ht="15.75" customHeight="1"/>
    <row r="307" s="28" customFormat="1" ht="15.75" customHeight="1"/>
    <row r="308" s="28" customFormat="1" ht="15.75" customHeight="1"/>
    <row r="309" s="28" customFormat="1" ht="15.75" customHeight="1"/>
    <row r="310" s="28" customFormat="1" ht="15.75" customHeight="1"/>
    <row r="311" s="28" customFormat="1" ht="15.75" customHeight="1"/>
    <row r="312" s="28" customFormat="1" ht="15.75" customHeight="1"/>
    <row r="313" s="28" customFormat="1" ht="15.75" customHeight="1"/>
    <row r="314" s="28" customFormat="1" ht="15.75" customHeight="1"/>
    <row r="315" s="28" customFormat="1" ht="15.75" customHeight="1"/>
    <row r="316" s="28" customFormat="1" ht="15.75" customHeight="1"/>
    <row r="317" s="28" customFormat="1" ht="15.75" customHeight="1"/>
    <row r="318" s="28" customFormat="1" ht="15.75" customHeight="1"/>
    <row r="319" s="28" customFormat="1" ht="15.75" customHeight="1"/>
    <row r="320" s="28" customFormat="1" ht="15.75" customHeight="1"/>
    <row r="321" s="28" customFormat="1" ht="15.75" customHeight="1"/>
    <row r="322" s="28" customFormat="1" ht="15.75" customHeight="1"/>
    <row r="323" s="28" customFormat="1" ht="15.75" customHeight="1"/>
    <row r="324" s="28" customFormat="1" ht="15.75" customHeight="1"/>
    <row r="325" s="28" customFormat="1" ht="15.75" customHeight="1"/>
    <row r="326" s="28" customFormat="1" ht="15.75" customHeight="1"/>
    <row r="327" s="28" customFormat="1" ht="15.75" customHeight="1"/>
    <row r="328" s="28" customFormat="1" ht="15.75" customHeight="1"/>
    <row r="329" s="28" customFormat="1" ht="15.75" customHeight="1"/>
    <row r="330" s="28" customFormat="1" ht="15.75" customHeight="1"/>
    <row r="331" s="28" customFormat="1" ht="15.75" customHeight="1"/>
    <row r="332" s="28" customFormat="1" ht="15.75" customHeight="1"/>
    <row r="333" s="28" customFormat="1" ht="15.75" customHeight="1"/>
    <row r="334" s="28" customFormat="1" ht="15.75" customHeight="1"/>
    <row r="335" s="28" customFormat="1" ht="15.75" customHeight="1"/>
    <row r="336" s="28" customFormat="1" ht="15.75" customHeight="1"/>
    <row r="337" s="28" customFormat="1" ht="15.75" customHeight="1"/>
    <row r="338" s="28" customFormat="1" ht="15.75" customHeight="1"/>
    <row r="339" s="28" customFormat="1" ht="15.75" customHeight="1"/>
    <row r="340" s="28" customFormat="1" ht="15.75" customHeight="1"/>
    <row r="341" s="28" customFormat="1" ht="15.75" customHeight="1"/>
    <row r="342" s="28" customFormat="1" ht="15.75" customHeight="1"/>
    <row r="343" s="28" customFormat="1" ht="15.75" customHeight="1"/>
    <row r="344" s="28" customFormat="1" ht="15.75" customHeight="1"/>
    <row r="345" s="28" customFormat="1" ht="15.75" customHeight="1"/>
    <row r="346" s="28" customFormat="1" ht="15.75" customHeight="1"/>
    <row r="347" s="28" customFormat="1" ht="15.75" customHeight="1"/>
    <row r="348" s="28" customFormat="1" ht="15.75" customHeight="1"/>
    <row r="349" s="28" customFormat="1" ht="15.75" customHeight="1"/>
    <row r="350" s="28" customFormat="1" ht="15.75" customHeight="1"/>
    <row r="351" s="28" customFormat="1" ht="15.75" customHeight="1"/>
    <row r="352" s="28" customFormat="1" ht="15.75" customHeight="1"/>
    <row r="353" s="28" customFormat="1" ht="15.75" customHeight="1"/>
    <row r="354" s="28" customFormat="1" ht="15.75" customHeight="1"/>
    <row r="355" s="28" customFormat="1" ht="15.75" customHeight="1"/>
    <row r="356" s="28" customFormat="1" ht="15.75" customHeight="1"/>
    <row r="357" s="28" customFormat="1" ht="15.75" customHeight="1"/>
    <row r="358" s="28" customFormat="1" ht="15.75" customHeight="1"/>
    <row r="359" s="28" customFormat="1" ht="15.75" customHeight="1"/>
    <row r="360" s="28" customFormat="1" ht="15.75" customHeight="1"/>
    <row r="361" s="28" customFormat="1" ht="15.75" customHeight="1"/>
    <row r="362" s="28" customFormat="1" ht="15.75" customHeight="1"/>
    <row r="363" s="28" customFormat="1" ht="15.75" customHeight="1"/>
    <row r="364" s="28" customFormat="1" ht="15.75" customHeight="1"/>
    <row r="365" s="28" customFormat="1" ht="15.75" customHeight="1"/>
    <row r="366" s="28" customFormat="1" ht="15.75" customHeight="1"/>
    <row r="367" s="28" customFormat="1" ht="15.75" customHeight="1"/>
    <row r="368" s="28" customFormat="1" ht="15.75" customHeight="1"/>
    <row r="369" s="28" customFormat="1" ht="15.75" customHeight="1"/>
    <row r="370" s="28" customFormat="1" ht="15.75" customHeight="1"/>
    <row r="371" s="28" customFormat="1" ht="15.75" customHeight="1"/>
    <row r="372" s="28" customFormat="1" ht="15.75" customHeight="1"/>
    <row r="373" s="28" customFormat="1" ht="15.75" customHeight="1"/>
    <row r="374" s="28" customFormat="1" ht="15.75" customHeight="1"/>
    <row r="375" s="28" customFormat="1" ht="15.75" customHeight="1"/>
    <row r="376" s="28" customFormat="1" ht="15.75" customHeight="1"/>
    <row r="377" s="28" customFormat="1" ht="15.75" customHeight="1"/>
    <row r="378" s="28" customFormat="1" ht="15.75" customHeight="1"/>
    <row r="379" s="28" customFormat="1" ht="15.75" customHeight="1"/>
    <row r="380" s="28" customFormat="1" ht="15.75" customHeight="1"/>
    <row r="381" s="28" customFormat="1" ht="15.75" customHeight="1"/>
    <row r="382" s="28" customFormat="1" ht="15.75" customHeight="1"/>
    <row r="383" s="28" customFormat="1" ht="15.75" customHeight="1"/>
    <row r="384" s="28" customFormat="1" ht="15.75" customHeight="1"/>
    <row r="385" s="28" customFormat="1" ht="15.75" customHeight="1"/>
    <row r="386" s="28" customFormat="1" ht="15.75" customHeight="1"/>
    <row r="387" s="28" customFormat="1" ht="15.75" customHeight="1"/>
    <row r="388" s="28" customFormat="1" ht="15.75" customHeight="1"/>
    <row r="389" s="28" customFormat="1" ht="15.75" customHeight="1"/>
    <row r="390" s="28" customFormat="1" ht="15.75" customHeight="1"/>
    <row r="391" s="28" customFormat="1" ht="15.75" customHeight="1"/>
    <row r="392" s="28" customFormat="1" ht="15.75" customHeight="1"/>
    <row r="393" s="28" customFormat="1" ht="15.75" customHeight="1"/>
    <row r="394" s="28" customFormat="1" ht="15.75" customHeight="1"/>
    <row r="395" s="28" customFormat="1" ht="15.75" customHeight="1"/>
    <row r="396" s="28" customFormat="1" ht="15.75" customHeight="1"/>
    <row r="397" s="28" customFormat="1" ht="15.75" customHeight="1"/>
    <row r="398" s="28" customFormat="1" ht="15.75" customHeight="1"/>
    <row r="399" s="28" customFormat="1" ht="15.75" customHeight="1"/>
    <row r="400" s="28" customFormat="1" ht="15.75" customHeight="1"/>
    <row r="401" s="28" customFormat="1" ht="15.75" customHeight="1"/>
    <row r="402" s="28" customFormat="1" ht="15.75" customHeight="1"/>
    <row r="403" s="28" customFormat="1" ht="15.75" customHeight="1"/>
    <row r="404" s="28" customFormat="1" ht="15.75" customHeight="1"/>
    <row r="405" s="28" customFormat="1" ht="15.75" customHeight="1"/>
    <row r="406" s="28" customFormat="1" ht="15.75" customHeight="1"/>
    <row r="407" s="28" customFormat="1" ht="15.75" customHeight="1"/>
    <row r="408" s="28" customFormat="1" ht="15.75" customHeight="1"/>
    <row r="409" s="28" customFormat="1" ht="15.75" customHeight="1"/>
    <row r="410" s="28" customFormat="1" ht="15.75" customHeight="1"/>
    <row r="411" s="28" customFormat="1" ht="15.75" customHeight="1"/>
    <row r="412" s="28" customFormat="1" ht="15.75" customHeight="1"/>
    <row r="413" s="28" customFormat="1" ht="15.75" customHeight="1"/>
    <row r="414" s="28" customFormat="1" ht="15.75" customHeight="1"/>
    <row r="415" s="28" customFormat="1" ht="15.75" customHeight="1"/>
    <row r="416" s="28" customFormat="1" ht="15.75" customHeight="1"/>
    <row r="417" s="28" customFormat="1" ht="15.75" customHeight="1"/>
    <row r="418" s="28" customFormat="1" ht="15.75" customHeight="1"/>
    <row r="419" s="28" customFormat="1" ht="15.75" customHeight="1"/>
    <row r="420" s="28" customFormat="1" ht="15.75" customHeight="1"/>
    <row r="421" s="28" customFormat="1" ht="15.75" customHeight="1"/>
    <row r="422" s="28" customFormat="1" ht="15.75" customHeight="1"/>
    <row r="423" s="28" customFormat="1" ht="15.75" customHeight="1"/>
    <row r="424" s="28" customFormat="1" ht="15.75" customHeight="1"/>
    <row r="425" s="28" customFormat="1" ht="15.75" customHeight="1"/>
    <row r="426" s="28" customFormat="1" ht="15.75" customHeight="1"/>
    <row r="427" s="28" customFormat="1" ht="15.75" customHeight="1"/>
    <row r="428" s="28" customFormat="1" ht="15.75" customHeight="1"/>
    <row r="429" s="28" customFormat="1" ht="15.75" customHeight="1"/>
    <row r="430" s="28" customFormat="1" ht="15.75" customHeight="1"/>
    <row r="431" s="28" customFormat="1" ht="15.75" customHeight="1"/>
    <row r="432" s="28" customFormat="1" ht="15.75" customHeight="1"/>
    <row r="433" s="28" customFormat="1" ht="15.75" customHeight="1"/>
    <row r="434" s="28" customFormat="1" ht="15.75" customHeight="1"/>
    <row r="435" s="28" customFormat="1" ht="15.75" customHeight="1"/>
    <row r="436" s="28" customFormat="1" ht="15.75" customHeight="1"/>
    <row r="437" s="28" customFormat="1" ht="15.75" customHeight="1"/>
    <row r="438" s="28" customFormat="1" ht="15.75" customHeight="1"/>
    <row r="439" s="28" customFormat="1" ht="15.75" customHeight="1"/>
    <row r="440" s="28" customFormat="1" ht="15.75" customHeight="1"/>
    <row r="441" s="28" customFormat="1" ht="15.75" customHeight="1"/>
    <row r="442" s="28" customFormat="1" ht="15.75" customHeight="1"/>
    <row r="443" s="28" customFormat="1" ht="15.75" customHeight="1"/>
    <row r="444" s="28" customFormat="1" ht="15.75" customHeight="1"/>
    <row r="445" s="28" customFormat="1" ht="15.75" customHeight="1"/>
    <row r="446" s="28" customFormat="1" ht="15.75" customHeight="1"/>
    <row r="447" s="28" customFormat="1" ht="15.75" customHeight="1"/>
    <row r="448" s="28" customFormat="1" ht="15.75" customHeight="1"/>
    <row r="449" s="28" customFormat="1" ht="15.75" customHeight="1"/>
    <row r="450" s="28" customFormat="1" ht="15.75" customHeight="1"/>
    <row r="451" s="28" customFormat="1" ht="15.75" customHeight="1"/>
    <row r="452" s="28" customFormat="1" ht="15.75" customHeight="1"/>
    <row r="453" s="28" customFormat="1" ht="15.75" customHeight="1"/>
    <row r="454" s="28" customFormat="1" ht="15.75" customHeight="1"/>
    <row r="455" s="28" customFormat="1" ht="15.75" customHeight="1"/>
    <row r="456" s="28" customFormat="1" ht="15.75" customHeight="1"/>
    <row r="457" s="28" customFormat="1" ht="15.75" customHeight="1"/>
    <row r="458" s="28" customFormat="1" ht="15.75" customHeight="1"/>
    <row r="459" s="28" customFormat="1" ht="15.75" customHeight="1"/>
    <row r="460" s="28" customFormat="1" ht="15.75" customHeight="1"/>
    <row r="461" s="28" customFormat="1" ht="15.75" customHeight="1"/>
    <row r="462" s="28" customFormat="1" ht="15.75" customHeight="1"/>
    <row r="463" s="28" customFormat="1" ht="15.75" customHeight="1"/>
    <row r="464" s="28" customFormat="1" ht="15.75" customHeight="1"/>
    <row r="465" s="28" customFormat="1" ht="15.75" customHeight="1"/>
    <row r="466" s="28" customFormat="1" ht="15.75" customHeight="1"/>
    <row r="467" s="28" customFormat="1" ht="15.75" customHeight="1"/>
    <row r="468" s="28" customFormat="1" ht="15.75" customHeight="1"/>
    <row r="469" s="28" customFormat="1" ht="15.75" customHeight="1"/>
    <row r="470" s="28" customFormat="1" ht="15.75" customHeight="1"/>
    <row r="471" s="28" customFormat="1" ht="15.75" customHeight="1"/>
    <row r="472" s="28" customFormat="1" ht="15.75" customHeight="1"/>
    <row r="473" s="28" customFormat="1" ht="15.75" customHeight="1"/>
    <row r="474" s="28" customFormat="1" ht="15.75" customHeight="1"/>
    <row r="475" s="28" customFormat="1" ht="15.75" customHeight="1"/>
    <row r="476" s="28" customFormat="1" ht="15.75" customHeight="1"/>
    <row r="477" s="28" customFormat="1" ht="15.75" customHeight="1"/>
    <row r="478" s="28" customFormat="1" ht="15.75" customHeight="1"/>
    <row r="479" s="28" customFormat="1" ht="15.75" customHeight="1"/>
    <row r="480" s="28" customFormat="1" ht="15.75" customHeight="1"/>
    <row r="481" s="28" customFormat="1" ht="15.75" customHeight="1"/>
    <row r="482" s="28" customFormat="1" ht="15.75" customHeight="1"/>
    <row r="483" s="28" customFormat="1" ht="15.75" customHeight="1"/>
    <row r="484" s="28" customFormat="1" ht="15.75" customHeight="1"/>
    <row r="485" s="28" customFormat="1" ht="15.75" customHeight="1"/>
    <row r="486" s="28" customFormat="1" ht="15.75" customHeight="1"/>
    <row r="487" s="28" customFormat="1" ht="15.75" customHeight="1"/>
    <row r="488" s="28" customFormat="1" ht="15.75" customHeight="1"/>
    <row r="489" s="28" customFormat="1" ht="15.75" customHeight="1"/>
    <row r="490" s="28" customFormat="1" ht="15.75" customHeight="1"/>
    <row r="491" s="28" customFormat="1" ht="15.75" customHeight="1"/>
    <row r="492" s="28" customFormat="1" ht="15.75" customHeight="1"/>
    <row r="493" s="28" customFormat="1" ht="15.75" customHeight="1"/>
    <row r="494" s="28" customFormat="1" ht="15.75" customHeight="1"/>
    <row r="495" s="28" customFormat="1" ht="15.75" customHeight="1"/>
    <row r="496" s="28" customFormat="1" ht="15.75" customHeight="1"/>
    <row r="497" s="28" customFormat="1" ht="15.75" customHeight="1"/>
    <row r="498" s="28" customFormat="1" ht="15.75" customHeight="1"/>
    <row r="499" s="28" customFormat="1" ht="15.75" customHeight="1"/>
    <row r="500" s="28" customFormat="1" ht="15.75" customHeight="1"/>
    <row r="501" s="28" customFormat="1" ht="15.75" customHeight="1"/>
    <row r="502" s="28" customFormat="1" ht="15.75" customHeight="1"/>
    <row r="503" s="28" customFormat="1" ht="15.75" customHeight="1"/>
    <row r="504" s="28" customFormat="1" ht="15.75" customHeight="1"/>
    <row r="505" s="28" customFormat="1" ht="15.75" customHeight="1"/>
    <row r="506" s="28" customFormat="1" ht="15.75" customHeight="1"/>
    <row r="507" s="28" customFormat="1" ht="15.75" customHeight="1"/>
    <row r="508" s="28" customFormat="1" ht="15.75" customHeight="1"/>
    <row r="509" s="28" customFormat="1" ht="15.75" customHeight="1"/>
    <row r="510" s="28" customFormat="1" ht="15.75" customHeight="1"/>
    <row r="511" s="28" customFormat="1" ht="15.75" customHeight="1"/>
    <row r="512" s="28" customFormat="1" ht="15.75" customHeight="1"/>
    <row r="513" s="28" customFormat="1" ht="15.75" customHeight="1"/>
    <row r="514" s="28" customFormat="1" ht="15.75" customHeight="1"/>
    <row r="515" s="28" customFormat="1" ht="15.75" customHeight="1"/>
    <row r="516" s="28" customFormat="1" ht="15.75" customHeight="1"/>
    <row r="517" s="28" customFormat="1" ht="15.75" customHeight="1"/>
    <row r="518" s="28" customFormat="1" ht="15.75" customHeight="1"/>
    <row r="519" s="28" customFormat="1" ht="15.75" customHeight="1"/>
    <row r="520" s="28" customFormat="1" ht="15.75" customHeight="1"/>
    <row r="521" s="28" customFormat="1" ht="15.75" customHeight="1"/>
    <row r="522" s="28" customFormat="1" ht="15.75" customHeight="1"/>
    <row r="523" s="28" customFormat="1" ht="15.75" customHeight="1"/>
    <row r="524" s="28" customFormat="1" ht="15.75" customHeight="1"/>
    <row r="525" s="28" customFormat="1" ht="15.75" customHeight="1"/>
    <row r="526" s="28" customFormat="1" ht="15.75" customHeight="1"/>
    <row r="527" s="28" customFormat="1" ht="15.75" customHeight="1"/>
    <row r="528" s="28" customFormat="1" ht="15.75" customHeight="1"/>
    <row r="529" s="28" customFormat="1" ht="15.75" customHeight="1"/>
    <row r="530" s="28" customFormat="1" ht="15.75" customHeight="1"/>
    <row r="531" s="28" customFormat="1" ht="15.75" customHeight="1"/>
    <row r="532" s="28" customFormat="1" ht="15.75" customHeight="1"/>
    <row r="533" s="28" customFormat="1" ht="15.75" customHeight="1"/>
    <row r="534" s="28" customFormat="1" ht="15.75" customHeight="1"/>
    <row r="535" s="28" customFormat="1" ht="15.75" customHeight="1"/>
    <row r="536" s="28" customFormat="1" ht="15.75" customHeight="1"/>
    <row r="537" s="28" customFormat="1" ht="15.75" customHeight="1"/>
    <row r="538" s="28" customFormat="1" ht="15.75" customHeight="1"/>
    <row r="539" s="28" customFormat="1" ht="15.75" customHeight="1"/>
    <row r="540" s="28" customFormat="1" ht="15.75" customHeight="1"/>
    <row r="541" s="28" customFormat="1" ht="15.75" customHeight="1"/>
    <row r="542" s="28" customFormat="1" ht="15.75" customHeight="1"/>
    <row r="543" s="28" customFormat="1" ht="15.75" customHeight="1"/>
    <row r="544" s="28" customFormat="1" ht="15.75" customHeight="1"/>
    <row r="545" s="28" customFormat="1" ht="15.75" customHeight="1"/>
    <row r="546" s="28" customFormat="1" ht="15.75" customHeight="1"/>
    <row r="547" s="28" customFormat="1" ht="15.75" customHeight="1"/>
    <row r="548" s="28" customFormat="1" ht="15.75" customHeight="1"/>
    <row r="549" s="28" customFormat="1" ht="15.75" customHeight="1"/>
    <row r="550" s="28" customFormat="1" ht="15.75" customHeight="1"/>
    <row r="551" s="28" customFormat="1" ht="15.75" customHeight="1"/>
    <row r="552" s="28" customFormat="1" ht="15.75" customHeight="1"/>
    <row r="553" s="28" customFormat="1" ht="15.75" customHeight="1"/>
    <row r="554" s="28" customFormat="1" ht="15.75" customHeight="1"/>
    <row r="555" s="28" customFormat="1" ht="15.75" customHeight="1"/>
    <row r="556" s="28" customFormat="1" ht="15.75" customHeight="1"/>
    <row r="557" s="28" customFormat="1" ht="15.75" customHeight="1"/>
    <row r="558" s="28" customFormat="1" ht="15.75" customHeight="1"/>
    <row r="559" s="28" customFormat="1" ht="15.75" customHeight="1"/>
    <row r="560" s="28" customFormat="1" ht="15.75" customHeight="1"/>
    <row r="561" s="28" customFormat="1" ht="15.75" customHeight="1"/>
    <row r="562" s="28" customFormat="1" ht="15.75" customHeight="1"/>
    <row r="563" s="28" customFormat="1" ht="15.75" customHeight="1"/>
    <row r="564" s="28" customFormat="1" ht="15.75" customHeight="1"/>
    <row r="565" s="28" customFormat="1" ht="15.75" customHeight="1"/>
    <row r="566" s="28" customFormat="1" ht="15.75" customHeight="1"/>
    <row r="567" s="28" customFormat="1" ht="15.75" customHeight="1"/>
    <row r="568" s="28" customFormat="1" ht="15.75" customHeight="1"/>
    <row r="569" s="28" customFormat="1" ht="15.75" customHeight="1"/>
    <row r="570" s="28" customFormat="1" ht="15.75" customHeight="1"/>
    <row r="571" s="28" customFormat="1" ht="15.75" customHeight="1"/>
    <row r="572" s="28" customFormat="1" ht="15.75" customHeight="1"/>
    <row r="573" s="28" customFormat="1" ht="15.75" customHeight="1"/>
    <row r="574" s="28" customFormat="1" ht="15.75" customHeight="1"/>
    <row r="575" s="28" customFormat="1" ht="15.75" customHeight="1"/>
    <row r="576" s="28" customFormat="1" ht="15.75" customHeight="1"/>
    <row r="577" s="28" customFormat="1" ht="15.75" customHeight="1"/>
    <row r="578" s="28" customFormat="1" ht="15.75" customHeight="1"/>
    <row r="579" s="28" customFormat="1" ht="15.75" customHeight="1"/>
    <row r="580" s="28" customFormat="1" ht="15.75" customHeight="1"/>
    <row r="581" s="28" customFormat="1" ht="15.75" customHeight="1"/>
    <row r="582" s="28" customFormat="1" ht="15.75" customHeight="1"/>
    <row r="583" s="28" customFormat="1" ht="15.75" customHeight="1"/>
    <row r="584" s="28" customFormat="1" ht="15.75" customHeight="1"/>
    <row r="585" s="28" customFormat="1" ht="15.75" customHeight="1"/>
    <row r="586" s="28" customFormat="1" ht="15.75" customHeight="1"/>
    <row r="587" s="28" customFormat="1" ht="15.75" customHeight="1"/>
    <row r="588" s="28" customFormat="1" ht="15.75" customHeight="1"/>
    <row r="589" s="28" customFormat="1" ht="15.75" customHeight="1"/>
    <row r="590" s="28" customFormat="1" ht="15.75" customHeight="1"/>
    <row r="591" s="28" customFormat="1" ht="15.75" customHeight="1"/>
    <row r="592" s="28" customFormat="1" ht="15.75" customHeight="1"/>
    <row r="593" s="28" customFormat="1" ht="15.75" customHeight="1"/>
    <row r="594" s="28" customFormat="1" ht="15.75" customHeight="1"/>
    <row r="595" s="28" customFormat="1" ht="15.75" customHeight="1"/>
    <row r="596" s="28" customFormat="1" ht="15.75" customHeight="1"/>
    <row r="597" s="28" customFormat="1" ht="15.75" customHeight="1"/>
    <row r="598" s="28" customFormat="1" ht="15.75" customHeight="1"/>
    <row r="599" s="28" customFormat="1" ht="15.75" customHeight="1"/>
    <row r="600" s="28" customFormat="1" ht="15.75" customHeight="1"/>
    <row r="601" s="28" customFormat="1" ht="15.75" customHeight="1"/>
    <row r="602" s="28" customFormat="1" ht="15.75" customHeight="1"/>
    <row r="603" s="28" customFormat="1" ht="15.75" customHeight="1"/>
    <row r="604" s="28" customFormat="1" ht="15.75" customHeight="1"/>
    <row r="605" s="28" customFormat="1" ht="15.75" customHeight="1"/>
    <row r="606" s="28" customFormat="1" ht="15.75" customHeight="1"/>
    <row r="607" s="28" customFormat="1" ht="15.75" customHeight="1"/>
    <row r="608" s="28" customFormat="1" ht="15.75" customHeight="1"/>
    <row r="609" s="28" customFormat="1" ht="15.75" customHeight="1"/>
    <row r="610" s="28" customFormat="1" ht="15.75" customHeight="1"/>
    <row r="611" s="28" customFormat="1" ht="15.75" customHeight="1"/>
    <row r="612" s="28" customFormat="1" ht="15.75" customHeight="1"/>
    <row r="613" s="28" customFormat="1" ht="15.75" customHeight="1"/>
    <row r="614" s="28" customFormat="1" ht="15.75" customHeight="1"/>
    <row r="615" s="28" customFormat="1" ht="15.75" customHeight="1"/>
    <row r="616" s="28" customFormat="1" ht="15.75" customHeight="1"/>
    <row r="617" s="28" customFormat="1" ht="15.75" customHeight="1"/>
    <row r="618" s="28" customFormat="1" ht="15.75" customHeight="1"/>
    <row r="619" s="28" customFormat="1" ht="15.75" customHeight="1"/>
    <row r="620" s="28" customFormat="1" ht="15.75" customHeight="1"/>
    <row r="621" s="28" customFormat="1" ht="15.75" customHeight="1"/>
    <row r="622" s="28" customFormat="1" ht="15.75" customHeight="1"/>
    <row r="623" s="28" customFormat="1" ht="15.75" customHeight="1"/>
    <row r="624" s="28" customFormat="1" ht="15.75" customHeight="1"/>
    <row r="625" s="28" customFormat="1" ht="15.75" customHeight="1"/>
    <row r="626" s="28" customFormat="1" ht="15.75" customHeight="1"/>
    <row r="627" s="28" customFormat="1" ht="15.75" customHeight="1"/>
    <row r="628" s="28" customFormat="1" ht="15.75" customHeight="1"/>
    <row r="629" s="28" customFormat="1" ht="15.75" customHeight="1"/>
    <row r="630" s="28" customFormat="1" ht="15.75" customHeight="1"/>
    <row r="631" s="28" customFormat="1" ht="15.75" customHeight="1"/>
    <row r="632" s="28" customFormat="1" ht="15.75" customHeight="1"/>
    <row r="633" s="28" customFormat="1" ht="15.75" customHeight="1"/>
    <row r="634" s="28" customFormat="1" ht="15.75" customHeight="1"/>
    <row r="635" s="28" customFormat="1" ht="15.75" customHeight="1"/>
    <row r="636" s="28" customFormat="1" ht="15.75" customHeight="1"/>
    <row r="637" s="28" customFormat="1" ht="15.75" customHeight="1"/>
    <row r="638" s="28" customFormat="1" ht="15.75" customHeight="1"/>
    <row r="639" s="28" customFormat="1" ht="15.75" customHeight="1"/>
    <row r="640" s="28" customFormat="1" ht="15.75" customHeight="1"/>
    <row r="641" s="28" customFormat="1" ht="15.75" customHeight="1"/>
    <row r="642" s="28" customFormat="1" ht="15.75" customHeight="1"/>
    <row r="643" s="28" customFormat="1" ht="15.75" customHeight="1"/>
    <row r="644" s="28" customFormat="1" ht="15.75" customHeight="1"/>
    <row r="645" s="28" customFormat="1" ht="15.75" customHeight="1"/>
    <row r="646" s="28" customFormat="1" ht="15.75" customHeight="1"/>
    <row r="647" s="28" customFormat="1" ht="15.75" customHeight="1"/>
    <row r="648" s="28" customFormat="1" ht="15.75" customHeight="1"/>
    <row r="649" s="28" customFormat="1" ht="15.75" customHeight="1"/>
    <row r="650" s="28" customFormat="1" ht="15.75" customHeight="1"/>
    <row r="651" s="28" customFormat="1" ht="15.75" customHeight="1"/>
    <row r="652" s="28" customFormat="1" ht="15.75" customHeight="1"/>
    <row r="653" s="28" customFormat="1" ht="15.75" customHeight="1"/>
    <row r="654" s="28" customFormat="1" ht="15.75" customHeight="1"/>
    <row r="655" s="28" customFormat="1" ht="15.75" customHeight="1"/>
    <row r="656" s="28" customFormat="1" ht="15.75" customHeight="1"/>
    <row r="657" s="28" customFormat="1" ht="15.75" customHeight="1"/>
    <row r="658" s="28" customFormat="1" ht="15.75" customHeight="1"/>
    <row r="659" s="28" customFormat="1" ht="15.75" customHeight="1"/>
    <row r="660" s="28" customFormat="1" ht="15.75" customHeight="1"/>
    <row r="661" s="28" customFormat="1" ht="15.75" customHeight="1"/>
    <row r="662" s="28" customFormat="1" ht="15.75" customHeight="1"/>
    <row r="663" s="28" customFormat="1" ht="15.75" customHeight="1"/>
    <row r="664" s="28" customFormat="1" ht="15.75" customHeight="1"/>
    <row r="665" s="28" customFormat="1" ht="15.75" customHeight="1"/>
    <row r="666" s="28" customFormat="1" ht="15.75" customHeight="1"/>
    <row r="667" s="28" customFormat="1" ht="15.75" customHeight="1"/>
    <row r="668" s="28" customFormat="1" ht="15.75" customHeight="1"/>
    <row r="669" s="28" customFormat="1" ht="15.75" customHeight="1"/>
    <row r="670" s="28" customFormat="1" ht="15.75" customHeight="1"/>
    <row r="671" s="28" customFormat="1" ht="15.75" customHeight="1"/>
    <row r="672" s="28" customFormat="1" ht="15.75" customHeight="1"/>
    <row r="673" s="28" customFormat="1" ht="15.75" customHeight="1"/>
    <row r="674" s="28" customFormat="1" ht="15.75" customHeight="1"/>
    <row r="675" s="28" customFormat="1" ht="15.75" customHeight="1"/>
    <row r="676" s="28" customFormat="1" ht="15.75" customHeight="1"/>
    <row r="677" s="28" customFormat="1" ht="15.75" customHeight="1"/>
    <row r="678" s="28" customFormat="1" ht="15.75" customHeight="1"/>
    <row r="679" s="28" customFormat="1" ht="15.75" customHeight="1"/>
    <row r="680" s="28" customFormat="1" ht="15.75" customHeight="1"/>
    <row r="681" s="28" customFormat="1" ht="15.75" customHeight="1"/>
    <row r="682" s="28" customFormat="1" ht="15.75" customHeight="1"/>
    <row r="683" s="28" customFormat="1" ht="15.75" customHeight="1"/>
    <row r="684" s="28" customFormat="1" ht="15.75" customHeight="1"/>
    <row r="685" s="28" customFormat="1" ht="15.75" customHeight="1"/>
    <row r="686" s="28" customFormat="1" ht="15.75" customHeight="1"/>
    <row r="687" s="28" customFormat="1" ht="15.75" customHeight="1"/>
    <row r="688" s="28" customFormat="1" ht="15.75" customHeight="1"/>
    <row r="689" s="28" customFormat="1" ht="15.75" customHeight="1"/>
    <row r="690" s="28" customFormat="1" ht="15.75" customHeight="1"/>
    <row r="691" s="28" customFormat="1" ht="15.75" customHeight="1"/>
    <row r="692" s="28" customFormat="1" ht="15.75" customHeight="1"/>
    <row r="693" s="28" customFormat="1" ht="15.75" customHeight="1"/>
    <row r="694" s="28" customFormat="1" ht="15.75" customHeight="1"/>
    <row r="695" s="28" customFormat="1" ht="15.75" customHeight="1"/>
    <row r="696" s="28" customFormat="1" ht="15.75" customHeight="1"/>
    <row r="697" s="28" customFormat="1" ht="15.75" customHeight="1"/>
    <row r="698" s="28" customFormat="1" ht="15.75" customHeight="1"/>
    <row r="699" s="28" customFormat="1" ht="15.75" customHeight="1"/>
    <row r="700" s="28" customFormat="1" ht="15.75" customHeight="1"/>
    <row r="701" s="28" customFormat="1" ht="15.75" customHeight="1"/>
    <row r="702" s="28" customFormat="1" ht="15.75" customHeight="1"/>
    <row r="703" s="28" customFormat="1" ht="15.75" customHeight="1"/>
    <row r="704" s="28" customFormat="1" ht="15.75" customHeight="1"/>
    <row r="705" s="28" customFormat="1" ht="15.75" customHeight="1"/>
    <row r="706" s="28" customFormat="1" ht="15.75" customHeight="1"/>
    <row r="707" s="28" customFormat="1" ht="15.75" customHeight="1"/>
    <row r="708" s="28" customFormat="1" ht="15.75" customHeight="1"/>
    <row r="709" s="28" customFormat="1" ht="15.75" customHeight="1"/>
    <row r="710" s="28" customFormat="1" ht="15.75" customHeight="1"/>
    <row r="711" s="28" customFormat="1" ht="15.75" customHeight="1"/>
    <row r="712" s="28" customFormat="1" ht="15.75" customHeight="1"/>
    <row r="713" s="28" customFormat="1" ht="15.75" customHeight="1"/>
    <row r="714" s="28" customFormat="1" ht="15.75" customHeight="1"/>
    <row r="715" s="28" customFormat="1" ht="15.75" customHeight="1"/>
    <row r="716" s="28" customFormat="1" ht="15.75" customHeight="1"/>
    <row r="717" s="28" customFormat="1" ht="15.75" customHeight="1"/>
    <row r="718" s="28" customFormat="1" ht="15.75" customHeight="1"/>
    <row r="719" s="28" customFormat="1" ht="15.75" customHeight="1"/>
    <row r="720" s="28" customFormat="1" ht="15.75" customHeight="1"/>
    <row r="721" s="28" customFormat="1" ht="15.75" customHeight="1"/>
    <row r="722" s="28" customFormat="1" ht="15.75" customHeight="1"/>
    <row r="723" s="28" customFormat="1" ht="15.75" customHeight="1"/>
    <row r="724" s="28" customFormat="1" ht="15.75" customHeight="1"/>
    <row r="725" s="28" customFormat="1" ht="15.75" customHeight="1"/>
    <row r="726" s="28" customFormat="1" ht="15.75" customHeight="1"/>
    <row r="727" s="28" customFormat="1" ht="15.75" customHeight="1"/>
    <row r="728" s="28" customFormat="1" ht="15.75" customHeight="1"/>
    <row r="729" s="28" customFormat="1" ht="15.75" customHeight="1"/>
    <row r="730" s="28" customFormat="1" ht="15.75" customHeight="1"/>
    <row r="731" s="28" customFormat="1" ht="15.75" customHeight="1"/>
    <row r="732" s="28" customFormat="1" ht="15.75" customHeight="1"/>
    <row r="733" s="28" customFormat="1" ht="15.75" customHeight="1"/>
    <row r="734" s="28" customFormat="1" ht="15.75" customHeight="1"/>
    <row r="735" s="28" customFormat="1" ht="15.75" customHeight="1"/>
    <row r="736" s="28" customFormat="1" ht="15.75" customHeight="1"/>
    <row r="737" s="28" customFormat="1" ht="15.75" customHeight="1"/>
    <row r="738" s="28" customFormat="1" ht="15.75" customHeight="1"/>
    <row r="739" s="28" customFormat="1" ht="15.75" customHeight="1"/>
    <row r="740" s="28" customFormat="1" ht="15.75" customHeight="1"/>
    <row r="741" s="28" customFormat="1" ht="15.75" customHeight="1"/>
    <row r="742" s="28" customFormat="1" ht="15.75" customHeight="1"/>
    <row r="743" s="28" customFormat="1" ht="15.75" customHeight="1"/>
    <row r="744" s="28" customFormat="1" ht="15.75" customHeight="1"/>
    <row r="745" s="28" customFormat="1" ht="15.75" customHeight="1"/>
    <row r="746" s="28" customFormat="1" ht="15.75" customHeight="1"/>
    <row r="747" s="28" customFormat="1" ht="15.75" customHeight="1"/>
    <row r="748" s="28" customFormat="1" ht="15.75" customHeight="1"/>
    <row r="749" s="28" customFormat="1" ht="15.75" customHeight="1"/>
    <row r="750" s="28" customFormat="1" ht="15.75" customHeight="1"/>
    <row r="751" s="28" customFormat="1" ht="15.75" customHeight="1"/>
    <row r="752" s="28" customFormat="1" ht="15.75" customHeight="1"/>
    <row r="753" s="28" customFormat="1" ht="15.75" customHeight="1"/>
    <row r="754" s="28" customFormat="1" ht="15.75" customHeight="1"/>
    <row r="755" s="28" customFormat="1" ht="15.75" customHeight="1"/>
    <row r="756" s="28" customFormat="1" ht="15.75" customHeight="1"/>
    <row r="757" s="28" customFormat="1" ht="15.75" customHeight="1"/>
    <row r="758" s="28" customFormat="1" ht="15.75" customHeight="1"/>
    <row r="759" s="28" customFormat="1" ht="15.75" customHeight="1"/>
    <row r="760" s="28" customFormat="1" ht="15.75" customHeight="1"/>
    <row r="761" s="28" customFormat="1" ht="15.75" customHeight="1"/>
    <row r="762" s="28" customFormat="1" ht="15.75" customHeight="1"/>
    <row r="763" s="28" customFormat="1" ht="15.75" customHeight="1"/>
    <row r="764" s="28" customFormat="1" ht="15.75" customHeight="1"/>
    <row r="765" s="28" customFormat="1" ht="15.75" customHeight="1"/>
    <row r="766" s="28" customFormat="1" ht="15.75" customHeight="1"/>
    <row r="767" s="28" customFormat="1" ht="15.75" customHeight="1"/>
    <row r="768" s="28" customFormat="1" ht="15.75" customHeight="1"/>
    <row r="769" s="28" customFormat="1" ht="15.75" customHeight="1"/>
    <row r="770" s="28" customFormat="1" ht="15.75" customHeight="1"/>
    <row r="771" s="28" customFormat="1" ht="15.75" customHeight="1"/>
    <row r="772" s="28" customFormat="1" ht="15.75" customHeight="1"/>
    <row r="773" s="28" customFormat="1" ht="15.75" customHeight="1"/>
    <row r="774" s="28" customFormat="1" ht="15.75" customHeight="1"/>
    <row r="775" s="28" customFormat="1" ht="15.75" customHeight="1"/>
    <row r="776" s="28" customFormat="1" ht="15.75" customHeight="1"/>
    <row r="777" s="28" customFormat="1" ht="15.75" customHeight="1"/>
    <row r="778" s="28" customFormat="1" ht="15.75" customHeight="1"/>
    <row r="779" s="28" customFormat="1" ht="15.75" customHeight="1"/>
    <row r="780" s="28" customFormat="1" ht="15.75" customHeight="1"/>
    <row r="781" s="28" customFormat="1" ht="15.75" customHeight="1"/>
    <row r="782" s="28" customFormat="1" ht="15.75" customHeight="1"/>
    <row r="783" s="28" customFormat="1" ht="15.75" customHeight="1"/>
    <row r="784" s="28" customFormat="1" ht="15.75" customHeight="1"/>
    <row r="785" s="28" customFormat="1" ht="15.75" customHeight="1"/>
    <row r="786" s="28" customFormat="1" ht="15.75" customHeight="1"/>
    <row r="787" s="28" customFormat="1" ht="15.75" customHeight="1"/>
    <row r="788" s="28" customFormat="1" ht="15.75" customHeight="1"/>
    <row r="789" s="28" customFormat="1" ht="15.75" customHeight="1"/>
    <row r="790" s="28" customFormat="1" ht="15.75" customHeight="1"/>
    <row r="791" s="28" customFormat="1" ht="15.75" customHeight="1"/>
    <row r="792" s="28" customFormat="1" ht="15.75" customHeight="1"/>
    <row r="793" s="28" customFormat="1" ht="15.75" customHeight="1"/>
    <row r="794" s="28" customFormat="1" ht="15.75" customHeight="1"/>
    <row r="795" s="28" customFormat="1" ht="15.75" customHeight="1"/>
    <row r="796" s="28" customFormat="1" ht="15.75" customHeight="1"/>
    <row r="797" s="28" customFormat="1" ht="15.75" customHeight="1"/>
    <row r="798" s="28" customFormat="1" ht="15.75" customHeight="1"/>
    <row r="799" s="28" customFormat="1" ht="15.75" customHeight="1"/>
    <row r="800" s="28" customFormat="1" ht="15.75" customHeight="1"/>
    <row r="801" s="28" customFormat="1" ht="15.75" customHeight="1"/>
    <row r="802" s="28" customFormat="1" ht="15.75" customHeight="1"/>
    <row r="803" s="28" customFormat="1" ht="15.75" customHeight="1"/>
    <row r="804" s="28" customFormat="1" ht="15.75" customHeight="1"/>
    <row r="805" s="28" customFormat="1" ht="15.75" customHeight="1"/>
    <row r="806" s="28" customFormat="1" ht="15.75" customHeight="1"/>
    <row r="807" s="28" customFormat="1" ht="15.75" customHeight="1"/>
    <row r="808" s="28" customFormat="1" ht="15.75" customHeight="1"/>
    <row r="809" s="28" customFormat="1" ht="15.75" customHeight="1"/>
    <row r="810" s="28" customFormat="1" ht="15.75" customHeight="1"/>
    <row r="811" s="28" customFormat="1" ht="15.75" customHeight="1"/>
    <row r="812" s="28" customFormat="1" ht="15.75" customHeight="1"/>
    <row r="813" s="28" customFormat="1" ht="15.75" customHeight="1"/>
    <row r="814" s="28" customFormat="1" ht="15.75" customHeight="1"/>
    <row r="815" s="28" customFormat="1" ht="15.75" customHeight="1"/>
    <row r="816" s="28" customFormat="1" ht="15.75" customHeight="1"/>
    <row r="817" s="28" customFormat="1" ht="15.75" customHeight="1"/>
    <row r="818" s="28" customFormat="1" ht="15.75" customHeight="1"/>
    <row r="819" s="28" customFormat="1" ht="15.75" customHeight="1"/>
    <row r="820" s="28" customFormat="1" ht="15.75" customHeight="1"/>
    <row r="821" s="28" customFormat="1" ht="15.75" customHeight="1"/>
    <row r="822" s="28" customFormat="1" ht="15.75" customHeight="1"/>
    <row r="823" s="28" customFormat="1" ht="15.75" customHeight="1"/>
    <row r="824" s="28" customFormat="1" ht="15.75" customHeight="1"/>
    <row r="825" s="28" customFormat="1" ht="15.75" customHeight="1"/>
    <row r="826" s="28" customFormat="1" ht="15.75" customHeight="1"/>
    <row r="827" s="28" customFormat="1" ht="15.75" customHeight="1"/>
    <row r="828" s="28" customFormat="1" ht="15.75" customHeight="1"/>
    <row r="829" s="28" customFormat="1" ht="15.75" customHeight="1"/>
    <row r="830" s="28" customFormat="1" ht="15.75" customHeight="1"/>
    <row r="831" s="28" customFormat="1" ht="15.75" customHeight="1"/>
    <row r="832" s="28" customFormat="1" ht="15.75" customHeight="1"/>
    <row r="833" s="28" customFormat="1" ht="15.75" customHeight="1"/>
    <row r="834" s="28" customFormat="1" ht="15.75" customHeight="1"/>
    <row r="835" s="28" customFormat="1" ht="15.75" customHeight="1"/>
    <row r="836" s="28" customFormat="1" ht="15.75" customHeight="1"/>
    <row r="837" s="28" customFormat="1" ht="15.75" customHeight="1"/>
    <row r="838" s="28" customFormat="1" ht="15.75" customHeight="1"/>
    <row r="839" s="28" customFormat="1" ht="15.75" customHeight="1"/>
    <row r="840" s="28" customFormat="1" ht="15.75" customHeight="1"/>
    <row r="841" s="28" customFormat="1" ht="15.75" customHeight="1"/>
    <row r="842" s="28" customFormat="1" ht="15.75" customHeight="1"/>
    <row r="843" s="28" customFormat="1" ht="15.75" customHeight="1"/>
    <row r="844" s="28" customFormat="1" ht="15.75" customHeight="1"/>
    <row r="845" s="28" customFormat="1" ht="15.75" customHeight="1"/>
    <row r="846" s="28" customFormat="1" ht="15.75" customHeight="1"/>
    <row r="847" s="28" customFormat="1" ht="15.75" customHeight="1"/>
    <row r="848" s="28" customFormat="1" ht="15.75" customHeight="1"/>
    <row r="849" s="28" customFormat="1" ht="15.75" customHeight="1"/>
    <row r="850" s="28" customFormat="1" ht="15.75" customHeight="1"/>
    <row r="851" s="28" customFormat="1" ht="15.75" customHeight="1"/>
    <row r="852" s="28" customFormat="1" ht="15.75" customHeight="1"/>
    <row r="853" s="28" customFormat="1" ht="15.75" customHeight="1"/>
    <row r="854" s="28" customFormat="1" ht="15.75" customHeight="1"/>
    <row r="855" s="28" customFormat="1" ht="15.75" customHeight="1"/>
    <row r="856" s="28" customFormat="1" ht="15.75" customHeight="1"/>
    <row r="857" s="28" customFormat="1" ht="15.75" customHeight="1"/>
    <row r="858" s="28" customFormat="1" ht="15.75" customHeight="1"/>
    <row r="859" s="28" customFormat="1" ht="15.75" customHeight="1"/>
    <row r="860" s="28" customFormat="1" ht="15.75" customHeight="1"/>
    <row r="861" s="28" customFormat="1" ht="15.75" customHeight="1"/>
    <row r="862" s="28" customFormat="1" ht="15.75" customHeight="1"/>
    <row r="863" s="28" customFormat="1" ht="15.75" customHeight="1"/>
    <row r="864" s="28" customFormat="1" ht="15.75" customHeight="1"/>
    <row r="865" s="28" customFormat="1" ht="15.75" customHeight="1"/>
    <row r="866" s="28" customFormat="1" ht="15.75" customHeight="1"/>
    <row r="867" s="28" customFormat="1" ht="15.75" customHeight="1"/>
    <row r="868" s="28" customFormat="1" ht="15.75" customHeight="1"/>
    <row r="869" s="28" customFormat="1" ht="15.75" customHeight="1"/>
    <row r="870" s="28" customFormat="1" ht="15.75" customHeight="1"/>
    <row r="871" s="28" customFormat="1" ht="15.75" customHeight="1"/>
    <row r="872" s="28" customFormat="1" ht="15.75" customHeight="1"/>
    <row r="873" s="28" customFormat="1" ht="15.75" customHeight="1"/>
    <row r="874" s="28" customFormat="1" ht="15.75" customHeight="1"/>
    <row r="875" s="28" customFormat="1" ht="15.75" customHeight="1"/>
    <row r="876" s="28" customFormat="1" ht="15.75" customHeight="1"/>
    <row r="877" s="28" customFormat="1" ht="15.75" customHeight="1"/>
    <row r="878" s="28" customFormat="1" ht="15.75" customHeight="1"/>
    <row r="879" s="28" customFormat="1" ht="15.75" customHeight="1"/>
    <row r="880" s="28" customFormat="1" ht="15.75" customHeight="1"/>
    <row r="881" s="28" customFormat="1" ht="15.75" customHeight="1"/>
    <row r="882" s="28" customFormat="1" ht="15.75" customHeight="1"/>
    <row r="883" s="28" customFormat="1" ht="15.75" customHeight="1"/>
    <row r="884" s="28" customFormat="1" ht="15.75" customHeight="1"/>
    <row r="885" s="28" customFormat="1" ht="15.75" customHeight="1"/>
    <row r="886" s="28" customFormat="1" ht="15.75" customHeight="1"/>
    <row r="887" s="28" customFormat="1" ht="15.75" customHeight="1"/>
    <row r="888" s="28" customFormat="1" ht="15.75" customHeight="1"/>
    <row r="889" s="28" customFormat="1" ht="15.75" customHeight="1"/>
    <row r="890" s="28" customFormat="1" ht="15.75" customHeight="1"/>
    <row r="891" s="28" customFormat="1" ht="15.75" customHeight="1"/>
    <row r="892" s="28" customFormat="1" ht="15.75" customHeight="1"/>
    <row r="893" s="28" customFormat="1" ht="15.75" customHeight="1"/>
    <row r="894" s="28" customFormat="1" ht="15.75" customHeight="1"/>
    <row r="895" s="28" customFormat="1" ht="15.75" customHeight="1"/>
    <row r="896" s="28" customFormat="1" ht="15.75" customHeight="1"/>
    <row r="897" s="28" customFormat="1" ht="15.75" customHeight="1"/>
    <row r="898" s="28" customFormat="1" ht="15.75" customHeight="1"/>
    <row r="899" s="28" customFormat="1" ht="15.75" customHeight="1"/>
    <row r="900" s="28" customFormat="1" ht="15.75" customHeight="1"/>
    <row r="901" s="28" customFormat="1" ht="15.75" customHeight="1"/>
    <row r="902" s="28" customFormat="1" ht="15.75" customHeight="1"/>
    <row r="903" s="28" customFormat="1" ht="15.75" customHeight="1"/>
    <row r="904" s="28" customFormat="1" ht="15.75" customHeight="1"/>
    <row r="905" s="28" customFormat="1" ht="15.75" customHeight="1"/>
    <row r="906" s="28" customFormat="1" ht="15.75" customHeight="1"/>
    <row r="907" s="28" customFormat="1" ht="15.75" customHeight="1"/>
    <row r="908" s="28" customFormat="1" ht="15.75" customHeight="1"/>
    <row r="909" s="28" customFormat="1" ht="15.75" customHeight="1"/>
    <row r="910" s="28" customFormat="1" ht="15.75" customHeight="1"/>
    <row r="911" s="28" customFormat="1" ht="15.75" customHeight="1"/>
    <row r="912" s="28" customFormat="1" ht="15.75" customHeight="1"/>
    <row r="913" s="28" customFormat="1" ht="15.75" customHeight="1"/>
    <row r="914" s="28" customFormat="1" ht="15.75" customHeight="1"/>
    <row r="915" s="28" customFormat="1" ht="15.75" customHeight="1"/>
    <row r="916" s="28" customFormat="1" ht="15.75" customHeight="1"/>
    <row r="917" s="28" customFormat="1" ht="15.75" customHeight="1"/>
    <row r="918" s="28" customFormat="1" ht="15.75" customHeight="1"/>
    <row r="919" s="28" customFormat="1" ht="15.75" customHeight="1"/>
    <row r="920" s="28" customFormat="1" ht="15.75" customHeight="1"/>
    <row r="921" s="28" customFormat="1" ht="15.75" customHeight="1"/>
    <row r="922" s="28" customFormat="1" ht="15.75" customHeight="1"/>
    <row r="923" s="28" customFormat="1" ht="15.75" customHeight="1"/>
    <row r="924" s="28" customFormat="1" ht="15.75" customHeight="1"/>
    <row r="925" s="28" customFormat="1" ht="15.75" customHeight="1"/>
    <row r="926" s="28" customFormat="1" ht="15.75" customHeight="1"/>
    <row r="927" s="28" customFormat="1" ht="15.75" customHeight="1"/>
    <row r="928" s="28" customFormat="1" ht="15.75" customHeight="1"/>
    <row r="929" s="28" customFormat="1" ht="15.75" customHeight="1"/>
    <row r="930" s="28" customFormat="1" ht="15.75" customHeight="1"/>
    <row r="931" s="28" customFormat="1" ht="15.75" customHeight="1"/>
    <row r="932" s="28" customFormat="1" ht="15.75" customHeight="1"/>
    <row r="933" s="28" customFormat="1" ht="15.75" customHeight="1"/>
    <row r="934" s="28" customFormat="1" ht="15.75" customHeight="1"/>
    <row r="935" s="28" customFormat="1" ht="15.75" customHeight="1"/>
    <row r="936" s="28" customFormat="1" ht="15.75" customHeight="1"/>
    <row r="937" s="28" customFormat="1" ht="15.75" customHeight="1"/>
    <row r="938" s="28" customFormat="1" ht="15.75" customHeight="1"/>
    <row r="939" s="28" customFormat="1" ht="15.75" customHeight="1"/>
    <row r="940" s="28" customFormat="1" ht="15.75" customHeight="1"/>
    <row r="941" s="28" customFormat="1" ht="15.75" customHeight="1"/>
    <row r="942" s="28" customFormat="1" ht="15.75" customHeight="1"/>
    <row r="943" s="28" customFormat="1" ht="15.75" customHeight="1"/>
    <row r="944" s="28" customFormat="1" ht="15.75" customHeight="1"/>
    <row r="945" s="28" customFormat="1" ht="15.75" customHeight="1"/>
    <row r="946" s="28" customFormat="1" ht="15.75" customHeight="1"/>
    <row r="947" s="28" customFormat="1" ht="15.75" customHeight="1"/>
    <row r="948" s="28" customFormat="1" ht="15.75" customHeight="1"/>
    <row r="949" s="28" customFormat="1" ht="15.75" customHeight="1"/>
    <row r="950" s="28" customFormat="1" ht="15.75" customHeight="1"/>
    <row r="951" s="28" customFormat="1" ht="15.75" customHeight="1"/>
    <row r="952" s="28" customFormat="1" ht="15.75" customHeight="1"/>
    <row r="953" s="28" customFormat="1" ht="15.75" customHeight="1"/>
    <row r="954" s="28" customFormat="1" ht="15.75" customHeight="1"/>
    <row r="955" s="28" customFormat="1" ht="15.75" customHeight="1"/>
    <row r="956" s="28" customFormat="1" ht="15.75" customHeight="1"/>
    <row r="957" s="28" customFormat="1" ht="15.75" customHeight="1"/>
    <row r="958" s="28" customFormat="1" ht="15.75" customHeight="1"/>
    <row r="959" s="28" customFormat="1" ht="15.75" customHeight="1"/>
    <row r="960" s="28" customFormat="1" ht="15.75" customHeight="1"/>
    <row r="961" s="28" customFormat="1" ht="15.75" customHeight="1"/>
    <row r="962" s="28" customFormat="1" ht="15.75" customHeight="1"/>
    <row r="963" s="28" customFormat="1" ht="15.75" customHeight="1"/>
    <row r="964" s="28" customFormat="1" ht="15.75" customHeight="1"/>
    <row r="965" s="28" customFormat="1" ht="15.75" customHeight="1"/>
    <row r="966" s="28" customFormat="1" ht="15.75" customHeight="1"/>
    <row r="967" s="28" customFormat="1" ht="15.75" customHeight="1"/>
    <row r="968" s="28" customFormat="1" ht="15.75" customHeight="1"/>
    <row r="969" s="28" customFormat="1" ht="15.75" customHeight="1"/>
    <row r="970" s="28" customFormat="1" ht="15.75" customHeight="1"/>
    <row r="971" s="28" customFormat="1" ht="15.75" customHeight="1"/>
    <row r="972" s="28" customFormat="1" ht="15.75" customHeight="1"/>
    <row r="973" s="28" customFormat="1" ht="15.75" customHeight="1"/>
    <row r="974" s="28" customFormat="1" ht="15.75" customHeight="1"/>
    <row r="975" s="28" customFormat="1" ht="15.75" customHeight="1"/>
    <row r="976" s="28" customFormat="1" ht="15.75" customHeight="1"/>
    <row r="977" s="28" customFormat="1" ht="15.75" customHeight="1"/>
    <row r="978" s="28" customFormat="1" ht="15.75" customHeight="1"/>
    <row r="979" s="28" customFormat="1" ht="15.75" customHeight="1"/>
    <row r="980" s="28" customFormat="1" ht="15.75" customHeight="1"/>
    <row r="981" s="28" customFormat="1" ht="15.75" customHeight="1"/>
    <row r="982" s="28" customFormat="1" ht="15.75" customHeight="1"/>
    <row r="983" s="28" customFormat="1" ht="15.75" customHeight="1"/>
    <row r="984" s="28" customFormat="1" ht="15.75" customHeight="1"/>
    <row r="985" s="28" customFormat="1" ht="15.75" customHeight="1"/>
    <row r="986" s="28" customFormat="1" ht="15.75" customHeight="1"/>
    <row r="987" s="28" customFormat="1" ht="15.75" customHeight="1"/>
    <row r="988" s="28" customFormat="1" ht="15.75" customHeight="1"/>
    <row r="989" s="28" customFormat="1" ht="15.75" customHeight="1"/>
    <row r="990" s="28" customFormat="1" ht="15.75" customHeight="1"/>
    <row r="991" s="28" customFormat="1" ht="15.75" customHeight="1"/>
    <row r="992" s="28" customFormat="1" ht="15.75" customHeight="1"/>
    <row r="993" s="28" customFormat="1" ht="15.75" customHeight="1"/>
    <row r="994" s="28" customFormat="1" ht="15.75" customHeight="1"/>
    <row r="995" s="28" customFormat="1" ht="15.75" customHeight="1"/>
    <row r="996" s="28" customFormat="1" ht="15.75" customHeight="1"/>
    <row r="997" s="28" customFormat="1" ht="15.75" customHeight="1"/>
    <row r="998" s="28" customFormat="1" ht="15.75" customHeight="1"/>
    <row r="999" s="28" customFormat="1" ht="15.75" customHeight="1"/>
    <row r="1000" s="28" customFormat="1" ht="15.75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0"/>
  <sheetViews>
    <sheetView zoomScale="60" zoomScaleNormal="60" workbookViewId="0">
      <selection activeCell="H6" sqref="H6"/>
    </sheetView>
  </sheetViews>
  <sheetFormatPr defaultColWidth="9" defaultRowHeight="17"/>
  <cols>
    <col min="1" max="1" width="8.72727272727273" style="1"/>
    <col min="2" max="2" width="4.72727272727273" style="1" customWidth="1"/>
    <col min="3" max="3" width="10.4545454545455" style="1" customWidth="1"/>
    <col min="4" max="4" width="16.7272727272727" style="1" customWidth="1"/>
    <col min="5" max="5" width="19.8181818181818" style="1" customWidth="1"/>
    <col min="6" max="6" width="11.5454545454545" style="1" customWidth="1"/>
    <col min="7" max="7" width="14.7272727272727" style="1" customWidth="1"/>
    <col min="8" max="8" width="19.4545454545455" style="1" customWidth="1"/>
    <col min="9" max="9" width="17.8181818181818" style="1" customWidth="1"/>
    <col min="10" max="10" width="18.2727272727273" style="1" customWidth="1"/>
    <col min="11" max="11" width="13.5454545454545" style="1" customWidth="1"/>
    <col min="12" max="12" width="16.8181818181818" style="1" customWidth="1"/>
    <col min="13" max="13" width="25.2727272727273" style="1" customWidth="1"/>
    <col min="14" max="15" width="10" style="1" customWidth="1"/>
    <col min="16" max="257" width="8.72727272727273" style="1"/>
    <col min="258" max="258" width="4.72727272727273" style="1" customWidth="1"/>
    <col min="259" max="259" width="10.4545454545455" style="1" customWidth="1"/>
    <col min="260" max="260" width="12.1818181818182" style="1" customWidth="1"/>
    <col min="261" max="261" width="13.1818181818182" style="1" customWidth="1"/>
    <col min="262" max="262" width="8.72727272727273" style="1"/>
    <col min="263" max="263" width="12" style="1" customWidth="1"/>
    <col min="264" max="265" width="8.72727272727273" style="1"/>
    <col min="266" max="266" width="18.2727272727273" style="1" customWidth="1"/>
    <col min="267" max="267" width="10.8181818181818" style="1" customWidth="1"/>
    <col min="268" max="268" width="8.72727272727273" style="1"/>
    <col min="269" max="269" width="10.5454545454545" style="1" customWidth="1"/>
    <col min="270" max="513" width="8.72727272727273" style="1"/>
    <col min="514" max="514" width="4.72727272727273" style="1" customWidth="1"/>
    <col min="515" max="515" width="10.4545454545455" style="1" customWidth="1"/>
    <col min="516" max="516" width="12.1818181818182" style="1" customWidth="1"/>
    <col min="517" max="517" width="13.1818181818182" style="1" customWidth="1"/>
    <col min="518" max="518" width="8.72727272727273" style="1"/>
    <col min="519" max="519" width="12" style="1" customWidth="1"/>
    <col min="520" max="521" width="8.72727272727273" style="1"/>
    <col min="522" max="522" width="18.2727272727273" style="1" customWidth="1"/>
    <col min="523" max="523" width="10.8181818181818" style="1" customWidth="1"/>
    <col min="524" max="524" width="8.72727272727273" style="1"/>
    <col min="525" max="525" width="10.5454545454545" style="1" customWidth="1"/>
    <col min="526" max="769" width="8.72727272727273" style="1"/>
    <col min="770" max="770" width="4.72727272727273" style="1" customWidth="1"/>
    <col min="771" max="771" width="10.4545454545455" style="1" customWidth="1"/>
    <col min="772" max="772" width="12.1818181818182" style="1" customWidth="1"/>
    <col min="773" max="773" width="13.1818181818182" style="1" customWidth="1"/>
    <col min="774" max="774" width="8.72727272727273" style="1"/>
    <col min="775" max="775" width="12" style="1" customWidth="1"/>
    <col min="776" max="777" width="8.72727272727273" style="1"/>
    <col min="778" max="778" width="18.2727272727273" style="1" customWidth="1"/>
    <col min="779" max="779" width="10.8181818181818" style="1" customWidth="1"/>
    <col min="780" max="780" width="8.72727272727273" style="1"/>
    <col min="781" max="781" width="10.5454545454545" style="1" customWidth="1"/>
    <col min="782" max="1025" width="8.72727272727273" style="1"/>
    <col min="1026" max="1026" width="4.72727272727273" style="1" customWidth="1"/>
    <col min="1027" max="1027" width="10.4545454545455" style="1" customWidth="1"/>
    <col min="1028" max="1028" width="12.1818181818182" style="1" customWidth="1"/>
    <col min="1029" max="1029" width="13.1818181818182" style="1" customWidth="1"/>
    <col min="1030" max="1030" width="8.72727272727273" style="1"/>
    <col min="1031" max="1031" width="12" style="1" customWidth="1"/>
    <col min="1032" max="1033" width="8.72727272727273" style="1"/>
    <col min="1034" max="1034" width="18.2727272727273" style="1" customWidth="1"/>
    <col min="1035" max="1035" width="10.8181818181818" style="1" customWidth="1"/>
    <col min="1036" max="1036" width="8.72727272727273" style="1"/>
    <col min="1037" max="1037" width="10.5454545454545" style="1" customWidth="1"/>
    <col min="1038" max="1281" width="8.72727272727273" style="1"/>
    <col min="1282" max="1282" width="4.72727272727273" style="1" customWidth="1"/>
    <col min="1283" max="1283" width="10.4545454545455" style="1" customWidth="1"/>
    <col min="1284" max="1284" width="12.1818181818182" style="1" customWidth="1"/>
    <col min="1285" max="1285" width="13.1818181818182" style="1" customWidth="1"/>
    <col min="1286" max="1286" width="8.72727272727273" style="1"/>
    <col min="1287" max="1287" width="12" style="1" customWidth="1"/>
    <col min="1288" max="1289" width="8.72727272727273" style="1"/>
    <col min="1290" max="1290" width="18.2727272727273" style="1" customWidth="1"/>
    <col min="1291" max="1291" width="10.8181818181818" style="1" customWidth="1"/>
    <col min="1292" max="1292" width="8.72727272727273" style="1"/>
    <col min="1293" max="1293" width="10.5454545454545" style="1" customWidth="1"/>
    <col min="1294" max="1537" width="8.72727272727273" style="1"/>
    <col min="1538" max="1538" width="4.72727272727273" style="1" customWidth="1"/>
    <col min="1539" max="1539" width="10.4545454545455" style="1" customWidth="1"/>
    <col min="1540" max="1540" width="12.1818181818182" style="1" customWidth="1"/>
    <col min="1541" max="1541" width="13.1818181818182" style="1" customWidth="1"/>
    <col min="1542" max="1542" width="8.72727272727273" style="1"/>
    <col min="1543" max="1543" width="12" style="1" customWidth="1"/>
    <col min="1544" max="1545" width="8.72727272727273" style="1"/>
    <col min="1546" max="1546" width="18.2727272727273" style="1" customWidth="1"/>
    <col min="1547" max="1547" width="10.8181818181818" style="1" customWidth="1"/>
    <col min="1548" max="1548" width="8.72727272727273" style="1"/>
    <col min="1549" max="1549" width="10.5454545454545" style="1" customWidth="1"/>
    <col min="1550" max="1793" width="8.72727272727273" style="1"/>
    <col min="1794" max="1794" width="4.72727272727273" style="1" customWidth="1"/>
    <col min="1795" max="1795" width="10.4545454545455" style="1" customWidth="1"/>
    <col min="1796" max="1796" width="12.1818181818182" style="1" customWidth="1"/>
    <col min="1797" max="1797" width="13.1818181818182" style="1" customWidth="1"/>
    <col min="1798" max="1798" width="8.72727272727273" style="1"/>
    <col min="1799" max="1799" width="12" style="1" customWidth="1"/>
    <col min="1800" max="1801" width="8.72727272727273" style="1"/>
    <col min="1802" max="1802" width="18.2727272727273" style="1" customWidth="1"/>
    <col min="1803" max="1803" width="10.8181818181818" style="1" customWidth="1"/>
    <col min="1804" max="1804" width="8.72727272727273" style="1"/>
    <col min="1805" max="1805" width="10.5454545454545" style="1" customWidth="1"/>
    <col min="1806" max="2049" width="8.72727272727273" style="1"/>
    <col min="2050" max="2050" width="4.72727272727273" style="1" customWidth="1"/>
    <col min="2051" max="2051" width="10.4545454545455" style="1" customWidth="1"/>
    <col min="2052" max="2052" width="12.1818181818182" style="1" customWidth="1"/>
    <col min="2053" max="2053" width="13.1818181818182" style="1" customWidth="1"/>
    <col min="2054" max="2054" width="8.72727272727273" style="1"/>
    <col min="2055" max="2055" width="12" style="1" customWidth="1"/>
    <col min="2056" max="2057" width="8.72727272727273" style="1"/>
    <col min="2058" max="2058" width="18.2727272727273" style="1" customWidth="1"/>
    <col min="2059" max="2059" width="10.8181818181818" style="1" customWidth="1"/>
    <col min="2060" max="2060" width="8.72727272727273" style="1"/>
    <col min="2061" max="2061" width="10.5454545454545" style="1" customWidth="1"/>
    <col min="2062" max="2305" width="8.72727272727273" style="1"/>
    <col min="2306" max="2306" width="4.72727272727273" style="1" customWidth="1"/>
    <col min="2307" max="2307" width="10.4545454545455" style="1" customWidth="1"/>
    <col min="2308" max="2308" width="12.1818181818182" style="1" customWidth="1"/>
    <col min="2309" max="2309" width="13.1818181818182" style="1" customWidth="1"/>
    <col min="2310" max="2310" width="8.72727272727273" style="1"/>
    <col min="2311" max="2311" width="12" style="1" customWidth="1"/>
    <col min="2312" max="2313" width="8.72727272727273" style="1"/>
    <col min="2314" max="2314" width="18.2727272727273" style="1" customWidth="1"/>
    <col min="2315" max="2315" width="10.8181818181818" style="1" customWidth="1"/>
    <col min="2316" max="2316" width="8.72727272727273" style="1"/>
    <col min="2317" max="2317" width="10.5454545454545" style="1" customWidth="1"/>
    <col min="2318" max="2561" width="8.72727272727273" style="1"/>
    <col min="2562" max="2562" width="4.72727272727273" style="1" customWidth="1"/>
    <col min="2563" max="2563" width="10.4545454545455" style="1" customWidth="1"/>
    <col min="2564" max="2564" width="12.1818181818182" style="1" customWidth="1"/>
    <col min="2565" max="2565" width="13.1818181818182" style="1" customWidth="1"/>
    <col min="2566" max="2566" width="8.72727272727273" style="1"/>
    <col min="2567" max="2567" width="12" style="1" customWidth="1"/>
    <col min="2568" max="2569" width="8.72727272727273" style="1"/>
    <col min="2570" max="2570" width="18.2727272727273" style="1" customWidth="1"/>
    <col min="2571" max="2571" width="10.8181818181818" style="1" customWidth="1"/>
    <col min="2572" max="2572" width="8.72727272727273" style="1"/>
    <col min="2573" max="2573" width="10.5454545454545" style="1" customWidth="1"/>
    <col min="2574" max="2817" width="8.72727272727273" style="1"/>
    <col min="2818" max="2818" width="4.72727272727273" style="1" customWidth="1"/>
    <col min="2819" max="2819" width="10.4545454545455" style="1" customWidth="1"/>
    <col min="2820" max="2820" width="12.1818181818182" style="1" customWidth="1"/>
    <col min="2821" max="2821" width="13.1818181818182" style="1" customWidth="1"/>
    <col min="2822" max="2822" width="8.72727272727273" style="1"/>
    <col min="2823" max="2823" width="12" style="1" customWidth="1"/>
    <col min="2824" max="2825" width="8.72727272727273" style="1"/>
    <col min="2826" max="2826" width="18.2727272727273" style="1" customWidth="1"/>
    <col min="2827" max="2827" width="10.8181818181818" style="1" customWidth="1"/>
    <col min="2828" max="2828" width="8.72727272727273" style="1"/>
    <col min="2829" max="2829" width="10.5454545454545" style="1" customWidth="1"/>
    <col min="2830" max="3073" width="8.72727272727273" style="1"/>
    <col min="3074" max="3074" width="4.72727272727273" style="1" customWidth="1"/>
    <col min="3075" max="3075" width="10.4545454545455" style="1" customWidth="1"/>
    <col min="3076" max="3076" width="12.1818181818182" style="1" customWidth="1"/>
    <col min="3077" max="3077" width="13.1818181818182" style="1" customWidth="1"/>
    <col min="3078" max="3078" width="8.72727272727273" style="1"/>
    <col min="3079" max="3079" width="12" style="1" customWidth="1"/>
    <col min="3080" max="3081" width="8.72727272727273" style="1"/>
    <col min="3082" max="3082" width="18.2727272727273" style="1" customWidth="1"/>
    <col min="3083" max="3083" width="10.8181818181818" style="1" customWidth="1"/>
    <col min="3084" max="3084" width="8.72727272727273" style="1"/>
    <col min="3085" max="3085" width="10.5454545454545" style="1" customWidth="1"/>
    <col min="3086" max="3329" width="8.72727272727273" style="1"/>
    <col min="3330" max="3330" width="4.72727272727273" style="1" customWidth="1"/>
    <col min="3331" max="3331" width="10.4545454545455" style="1" customWidth="1"/>
    <col min="3332" max="3332" width="12.1818181818182" style="1" customWidth="1"/>
    <col min="3333" max="3333" width="13.1818181818182" style="1" customWidth="1"/>
    <col min="3334" max="3334" width="8.72727272727273" style="1"/>
    <col min="3335" max="3335" width="12" style="1" customWidth="1"/>
    <col min="3336" max="3337" width="8.72727272727273" style="1"/>
    <col min="3338" max="3338" width="18.2727272727273" style="1" customWidth="1"/>
    <col min="3339" max="3339" width="10.8181818181818" style="1" customWidth="1"/>
    <col min="3340" max="3340" width="8.72727272727273" style="1"/>
    <col min="3341" max="3341" width="10.5454545454545" style="1" customWidth="1"/>
    <col min="3342" max="3585" width="8.72727272727273" style="1"/>
    <col min="3586" max="3586" width="4.72727272727273" style="1" customWidth="1"/>
    <col min="3587" max="3587" width="10.4545454545455" style="1" customWidth="1"/>
    <col min="3588" max="3588" width="12.1818181818182" style="1" customWidth="1"/>
    <col min="3589" max="3589" width="13.1818181818182" style="1" customWidth="1"/>
    <col min="3590" max="3590" width="8.72727272727273" style="1"/>
    <col min="3591" max="3591" width="12" style="1" customWidth="1"/>
    <col min="3592" max="3593" width="8.72727272727273" style="1"/>
    <col min="3594" max="3594" width="18.2727272727273" style="1" customWidth="1"/>
    <col min="3595" max="3595" width="10.8181818181818" style="1" customWidth="1"/>
    <col min="3596" max="3596" width="8.72727272727273" style="1"/>
    <col min="3597" max="3597" width="10.5454545454545" style="1" customWidth="1"/>
    <col min="3598" max="3841" width="8.72727272727273" style="1"/>
    <col min="3842" max="3842" width="4.72727272727273" style="1" customWidth="1"/>
    <col min="3843" max="3843" width="10.4545454545455" style="1" customWidth="1"/>
    <col min="3844" max="3844" width="12.1818181818182" style="1" customWidth="1"/>
    <col min="3845" max="3845" width="13.1818181818182" style="1" customWidth="1"/>
    <col min="3846" max="3846" width="8.72727272727273" style="1"/>
    <col min="3847" max="3847" width="12" style="1" customWidth="1"/>
    <col min="3848" max="3849" width="8.72727272727273" style="1"/>
    <col min="3850" max="3850" width="18.2727272727273" style="1" customWidth="1"/>
    <col min="3851" max="3851" width="10.8181818181818" style="1" customWidth="1"/>
    <col min="3852" max="3852" width="8.72727272727273" style="1"/>
    <col min="3853" max="3853" width="10.5454545454545" style="1" customWidth="1"/>
    <col min="3854" max="4097" width="8.72727272727273" style="1"/>
    <col min="4098" max="4098" width="4.72727272727273" style="1" customWidth="1"/>
    <col min="4099" max="4099" width="10.4545454545455" style="1" customWidth="1"/>
    <col min="4100" max="4100" width="12.1818181818182" style="1" customWidth="1"/>
    <col min="4101" max="4101" width="13.1818181818182" style="1" customWidth="1"/>
    <col min="4102" max="4102" width="8.72727272727273" style="1"/>
    <col min="4103" max="4103" width="12" style="1" customWidth="1"/>
    <col min="4104" max="4105" width="8.72727272727273" style="1"/>
    <col min="4106" max="4106" width="18.2727272727273" style="1" customWidth="1"/>
    <col min="4107" max="4107" width="10.8181818181818" style="1" customWidth="1"/>
    <col min="4108" max="4108" width="8.72727272727273" style="1"/>
    <col min="4109" max="4109" width="10.5454545454545" style="1" customWidth="1"/>
    <col min="4110" max="4353" width="8.72727272727273" style="1"/>
    <col min="4354" max="4354" width="4.72727272727273" style="1" customWidth="1"/>
    <col min="4355" max="4355" width="10.4545454545455" style="1" customWidth="1"/>
    <col min="4356" max="4356" width="12.1818181818182" style="1" customWidth="1"/>
    <col min="4357" max="4357" width="13.1818181818182" style="1" customWidth="1"/>
    <col min="4358" max="4358" width="8.72727272727273" style="1"/>
    <col min="4359" max="4359" width="12" style="1" customWidth="1"/>
    <col min="4360" max="4361" width="8.72727272727273" style="1"/>
    <col min="4362" max="4362" width="18.2727272727273" style="1" customWidth="1"/>
    <col min="4363" max="4363" width="10.8181818181818" style="1" customWidth="1"/>
    <col min="4364" max="4364" width="8.72727272727273" style="1"/>
    <col min="4365" max="4365" width="10.5454545454545" style="1" customWidth="1"/>
    <col min="4366" max="4609" width="8.72727272727273" style="1"/>
    <col min="4610" max="4610" width="4.72727272727273" style="1" customWidth="1"/>
    <col min="4611" max="4611" width="10.4545454545455" style="1" customWidth="1"/>
    <col min="4612" max="4612" width="12.1818181818182" style="1" customWidth="1"/>
    <col min="4613" max="4613" width="13.1818181818182" style="1" customWidth="1"/>
    <col min="4614" max="4614" width="8.72727272727273" style="1"/>
    <col min="4615" max="4615" width="12" style="1" customWidth="1"/>
    <col min="4616" max="4617" width="8.72727272727273" style="1"/>
    <col min="4618" max="4618" width="18.2727272727273" style="1" customWidth="1"/>
    <col min="4619" max="4619" width="10.8181818181818" style="1" customWidth="1"/>
    <col min="4620" max="4620" width="8.72727272727273" style="1"/>
    <col min="4621" max="4621" width="10.5454545454545" style="1" customWidth="1"/>
    <col min="4622" max="4865" width="8.72727272727273" style="1"/>
    <col min="4866" max="4866" width="4.72727272727273" style="1" customWidth="1"/>
    <col min="4867" max="4867" width="10.4545454545455" style="1" customWidth="1"/>
    <col min="4868" max="4868" width="12.1818181818182" style="1" customWidth="1"/>
    <col min="4869" max="4869" width="13.1818181818182" style="1" customWidth="1"/>
    <col min="4870" max="4870" width="8.72727272727273" style="1"/>
    <col min="4871" max="4871" width="12" style="1" customWidth="1"/>
    <col min="4872" max="4873" width="8.72727272727273" style="1"/>
    <col min="4874" max="4874" width="18.2727272727273" style="1" customWidth="1"/>
    <col min="4875" max="4875" width="10.8181818181818" style="1" customWidth="1"/>
    <col min="4876" max="4876" width="8.72727272727273" style="1"/>
    <col min="4877" max="4877" width="10.5454545454545" style="1" customWidth="1"/>
    <col min="4878" max="5121" width="8.72727272727273" style="1"/>
    <col min="5122" max="5122" width="4.72727272727273" style="1" customWidth="1"/>
    <col min="5123" max="5123" width="10.4545454545455" style="1" customWidth="1"/>
    <col min="5124" max="5124" width="12.1818181818182" style="1" customWidth="1"/>
    <col min="5125" max="5125" width="13.1818181818182" style="1" customWidth="1"/>
    <col min="5126" max="5126" width="8.72727272727273" style="1"/>
    <col min="5127" max="5127" width="12" style="1" customWidth="1"/>
    <col min="5128" max="5129" width="8.72727272727273" style="1"/>
    <col min="5130" max="5130" width="18.2727272727273" style="1" customWidth="1"/>
    <col min="5131" max="5131" width="10.8181818181818" style="1" customWidth="1"/>
    <col min="5132" max="5132" width="8.72727272727273" style="1"/>
    <col min="5133" max="5133" width="10.5454545454545" style="1" customWidth="1"/>
    <col min="5134" max="5377" width="8.72727272727273" style="1"/>
    <col min="5378" max="5378" width="4.72727272727273" style="1" customWidth="1"/>
    <col min="5379" max="5379" width="10.4545454545455" style="1" customWidth="1"/>
    <col min="5380" max="5380" width="12.1818181818182" style="1" customWidth="1"/>
    <col min="5381" max="5381" width="13.1818181818182" style="1" customWidth="1"/>
    <col min="5382" max="5382" width="8.72727272727273" style="1"/>
    <col min="5383" max="5383" width="12" style="1" customWidth="1"/>
    <col min="5384" max="5385" width="8.72727272727273" style="1"/>
    <col min="5386" max="5386" width="18.2727272727273" style="1" customWidth="1"/>
    <col min="5387" max="5387" width="10.8181818181818" style="1" customWidth="1"/>
    <col min="5388" max="5388" width="8.72727272727273" style="1"/>
    <col min="5389" max="5389" width="10.5454545454545" style="1" customWidth="1"/>
    <col min="5390" max="5633" width="8.72727272727273" style="1"/>
    <col min="5634" max="5634" width="4.72727272727273" style="1" customWidth="1"/>
    <col min="5635" max="5635" width="10.4545454545455" style="1" customWidth="1"/>
    <col min="5636" max="5636" width="12.1818181818182" style="1" customWidth="1"/>
    <col min="5637" max="5637" width="13.1818181818182" style="1" customWidth="1"/>
    <col min="5638" max="5638" width="8.72727272727273" style="1"/>
    <col min="5639" max="5639" width="12" style="1" customWidth="1"/>
    <col min="5640" max="5641" width="8.72727272727273" style="1"/>
    <col min="5642" max="5642" width="18.2727272727273" style="1" customWidth="1"/>
    <col min="5643" max="5643" width="10.8181818181818" style="1" customWidth="1"/>
    <col min="5644" max="5644" width="8.72727272727273" style="1"/>
    <col min="5645" max="5645" width="10.5454545454545" style="1" customWidth="1"/>
    <col min="5646" max="5889" width="8.72727272727273" style="1"/>
    <col min="5890" max="5890" width="4.72727272727273" style="1" customWidth="1"/>
    <col min="5891" max="5891" width="10.4545454545455" style="1" customWidth="1"/>
    <col min="5892" max="5892" width="12.1818181818182" style="1" customWidth="1"/>
    <col min="5893" max="5893" width="13.1818181818182" style="1" customWidth="1"/>
    <col min="5894" max="5894" width="8.72727272727273" style="1"/>
    <col min="5895" max="5895" width="12" style="1" customWidth="1"/>
    <col min="5896" max="5897" width="8.72727272727273" style="1"/>
    <col min="5898" max="5898" width="18.2727272727273" style="1" customWidth="1"/>
    <col min="5899" max="5899" width="10.8181818181818" style="1" customWidth="1"/>
    <col min="5900" max="5900" width="8.72727272727273" style="1"/>
    <col min="5901" max="5901" width="10.5454545454545" style="1" customWidth="1"/>
    <col min="5902" max="6145" width="8.72727272727273" style="1"/>
    <col min="6146" max="6146" width="4.72727272727273" style="1" customWidth="1"/>
    <col min="6147" max="6147" width="10.4545454545455" style="1" customWidth="1"/>
    <col min="6148" max="6148" width="12.1818181818182" style="1" customWidth="1"/>
    <col min="6149" max="6149" width="13.1818181818182" style="1" customWidth="1"/>
    <col min="6150" max="6150" width="8.72727272727273" style="1"/>
    <col min="6151" max="6151" width="12" style="1" customWidth="1"/>
    <col min="6152" max="6153" width="8.72727272727273" style="1"/>
    <col min="6154" max="6154" width="18.2727272727273" style="1" customWidth="1"/>
    <col min="6155" max="6155" width="10.8181818181818" style="1" customWidth="1"/>
    <col min="6156" max="6156" width="8.72727272727273" style="1"/>
    <col min="6157" max="6157" width="10.5454545454545" style="1" customWidth="1"/>
    <col min="6158" max="6401" width="8.72727272727273" style="1"/>
    <col min="6402" max="6402" width="4.72727272727273" style="1" customWidth="1"/>
    <col min="6403" max="6403" width="10.4545454545455" style="1" customWidth="1"/>
    <col min="6404" max="6404" width="12.1818181818182" style="1" customWidth="1"/>
    <col min="6405" max="6405" width="13.1818181818182" style="1" customWidth="1"/>
    <col min="6406" max="6406" width="8.72727272727273" style="1"/>
    <col min="6407" max="6407" width="12" style="1" customWidth="1"/>
    <col min="6408" max="6409" width="8.72727272727273" style="1"/>
    <col min="6410" max="6410" width="18.2727272727273" style="1" customWidth="1"/>
    <col min="6411" max="6411" width="10.8181818181818" style="1" customWidth="1"/>
    <col min="6412" max="6412" width="8.72727272727273" style="1"/>
    <col min="6413" max="6413" width="10.5454545454545" style="1" customWidth="1"/>
    <col min="6414" max="6657" width="8.72727272727273" style="1"/>
    <col min="6658" max="6658" width="4.72727272727273" style="1" customWidth="1"/>
    <col min="6659" max="6659" width="10.4545454545455" style="1" customWidth="1"/>
    <col min="6660" max="6660" width="12.1818181818182" style="1" customWidth="1"/>
    <col min="6661" max="6661" width="13.1818181818182" style="1" customWidth="1"/>
    <col min="6662" max="6662" width="8.72727272727273" style="1"/>
    <col min="6663" max="6663" width="12" style="1" customWidth="1"/>
    <col min="6664" max="6665" width="8.72727272727273" style="1"/>
    <col min="6666" max="6666" width="18.2727272727273" style="1" customWidth="1"/>
    <col min="6667" max="6667" width="10.8181818181818" style="1" customWidth="1"/>
    <col min="6668" max="6668" width="8.72727272727273" style="1"/>
    <col min="6669" max="6669" width="10.5454545454545" style="1" customWidth="1"/>
    <col min="6670" max="6913" width="8.72727272727273" style="1"/>
    <col min="6914" max="6914" width="4.72727272727273" style="1" customWidth="1"/>
    <col min="6915" max="6915" width="10.4545454545455" style="1" customWidth="1"/>
    <col min="6916" max="6916" width="12.1818181818182" style="1" customWidth="1"/>
    <col min="6917" max="6917" width="13.1818181818182" style="1" customWidth="1"/>
    <col min="6918" max="6918" width="8.72727272727273" style="1"/>
    <col min="6919" max="6919" width="12" style="1" customWidth="1"/>
    <col min="6920" max="6921" width="8.72727272727273" style="1"/>
    <col min="6922" max="6922" width="18.2727272727273" style="1" customWidth="1"/>
    <col min="6923" max="6923" width="10.8181818181818" style="1" customWidth="1"/>
    <col min="6924" max="6924" width="8.72727272727273" style="1"/>
    <col min="6925" max="6925" width="10.5454545454545" style="1" customWidth="1"/>
    <col min="6926" max="7169" width="8.72727272727273" style="1"/>
    <col min="7170" max="7170" width="4.72727272727273" style="1" customWidth="1"/>
    <col min="7171" max="7171" width="10.4545454545455" style="1" customWidth="1"/>
    <col min="7172" max="7172" width="12.1818181818182" style="1" customWidth="1"/>
    <col min="7173" max="7173" width="13.1818181818182" style="1" customWidth="1"/>
    <col min="7174" max="7174" width="8.72727272727273" style="1"/>
    <col min="7175" max="7175" width="12" style="1" customWidth="1"/>
    <col min="7176" max="7177" width="8.72727272727273" style="1"/>
    <col min="7178" max="7178" width="18.2727272727273" style="1" customWidth="1"/>
    <col min="7179" max="7179" width="10.8181818181818" style="1" customWidth="1"/>
    <col min="7180" max="7180" width="8.72727272727273" style="1"/>
    <col min="7181" max="7181" width="10.5454545454545" style="1" customWidth="1"/>
    <col min="7182" max="7425" width="8.72727272727273" style="1"/>
    <col min="7426" max="7426" width="4.72727272727273" style="1" customWidth="1"/>
    <col min="7427" max="7427" width="10.4545454545455" style="1" customWidth="1"/>
    <col min="7428" max="7428" width="12.1818181818182" style="1" customWidth="1"/>
    <col min="7429" max="7429" width="13.1818181818182" style="1" customWidth="1"/>
    <col min="7430" max="7430" width="8.72727272727273" style="1"/>
    <col min="7431" max="7431" width="12" style="1" customWidth="1"/>
    <col min="7432" max="7433" width="8.72727272727273" style="1"/>
    <col min="7434" max="7434" width="18.2727272727273" style="1" customWidth="1"/>
    <col min="7435" max="7435" width="10.8181818181818" style="1" customWidth="1"/>
    <col min="7436" max="7436" width="8.72727272727273" style="1"/>
    <col min="7437" max="7437" width="10.5454545454545" style="1" customWidth="1"/>
    <col min="7438" max="7681" width="8.72727272727273" style="1"/>
    <col min="7682" max="7682" width="4.72727272727273" style="1" customWidth="1"/>
    <col min="7683" max="7683" width="10.4545454545455" style="1" customWidth="1"/>
    <col min="7684" max="7684" width="12.1818181818182" style="1" customWidth="1"/>
    <col min="7685" max="7685" width="13.1818181818182" style="1" customWidth="1"/>
    <col min="7686" max="7686" width="8.72727272727273" style="1"/>
    <col min="7687" max="7687" width="12" style="1" customWidth="1"/>
    <col min="7688" max="7689" width="8.72727272727273" style="1"/>
    <col min="7690" max="7690" width="18.2727272727273" style="1" customWidth="1"/>
    <col min="7691" max="7691" width="10.8181818181818" style="1" customWidth="1"/>
    <col min="7692" max="7692" width="8.72727272727273" style="1"/>
    <col min="7693" max="7693" width="10.5454545454545" style="1" customWidth="1"/>
    <col min="7694" max="7937" width="8.72727272727273" style="1"/>
    <col min="7938" max="7938" width="4.72727272727273" style="1" customWidth="1"/>
    <col min="7939" max="7939" width="10.4545454545455" style="1" customWidth="1"/>
    <col min="7940" max="7940" width="12.1818181818182" style="1" customWidth="1"/>
    <col min="7941" max="7941" width="13.1818181818182" style="1" customWidth="1"/>
    <col min="7942" max="7942" width="8.72727272727273" style="1"/>
    <col min="7943" max="7943" width="12" style="1" customWidth="1"/>
    <col min="7944" max="7945" width="8.72727272727273" style="1"/>
    <col min="7946" max="7946" width="18.2727272727273" style="1" customWidth="1"/>
    <col min="7947" max="7947" width="10.8181818181818" style="1" customWidth="1"/>
    <col min="7948" max="7948" width="8.72727272727273" style="1"/>
    <col min="7949" max="7949" width="10.5454545454545" style="1" customWidth="1"/>
    <col min="7950" max="8193" width="8.72727272727273" style="1"/>
    <col min="8194" max="8194" width="4.72727272727273" style="1" customWidth="1"/>
    <col min="8195" max="8195" width="10.4545454545455" style="1" customWidth="1"/>
    <col min="8196" max="8196" width="12.1818181818182" style="1" customWidth="1"/>
    <col min="8197" max="8197" width="13.1818181818182" style="1" customWidth="1"/>
    <col min="8198" max="8198" width="8.72727272727273" style="1"/>
    <col min="8199" max="8199" width="12" style="1" customWidth="1"/>
    <col min="8200" max="8201" width="8.72727272727273" style="1"/>
    <col min="8202" max="8202" width="18.2727272727273" style="1" customWidth="1"/>
    <col min="8203" max="8203" width="10.8181818181818" style="1" customWidth="1"/>
    <col min="8204" max="8204" width="8.72727272727273" style="1"/>
    <col min="8205" max="8205" width="10.5454545454545" style="1" customWidth="1"/>
    <col min="8206" max="8449" width="8.72727272727273" style="1"/>
    <col min="8450" max="8450" width="4.72727272727273" style="1" customWidth="1"/>
    <col min="8451" max="8451" width="10.4545454545455" style="1" customWidth="1"/>
    <col min="8452" max="8452" width="12.1818181818182" style="1" customWidth="1"/>
    <col min="8453" max="8453" width="13.1818181818182" style="1" customWidth="1"/>
    <col min="8454" max="8454" width="8.72727272727273" style="1"/>
    <col min="8455" max="8455" width="12" style="1" customWidth="1"/>
    <col min="8456" max="8457" width="8.72727272727273" style="1"/>
    <col min="8458" max="8458" width="18.2727272727273" style="1" customWidth="1"/>
    <col min="8459" max="8459" width="10.8181818181818" style="1" customWidth="1"/>
    <col min="8460" max="8460" width="8.72727272727273" style="1"/>
    <col min="8461" max="8461" width="10.5454545454545" style="1" customWidth="1"/>
    <col min="8462" max="8705" width="8.72727272727273" style="1"/>
    <col min="8706" max="8706" width="4.72727272727273" style="1" customWidth="1"/>
    <col min="8707" max="8707" width="10.4545454545455" style="1" customWidth="1"/>
    <col min="8708" max="8708" width="12.1818181818182" style="1" customWidth="1"/>
    <col min="8709" max="8709" width="13.1818181818182" style="1" customWidth="1"/>
    <col min="8710" max="8710" width="8.72727272727273" style="1"/>
    <col min="8711" max="8711" width="12" style="1" customWidth="1"/>
    <col min="8712" max="8713" width="8.72727272727273" style="1"/>
    <col min="8714" max="8714" width="18.2727272727273" style="1" customWidth="1"/>
    <col min="8715" max="8715" width="10.8181818181818" style="1" customWidth="1"/>
    <col min="8716" max="8716" width="8.72727272727273" style="1"/>
    <col min="8717" max="8717" width="10.5454545454545" style="1" customWidth="1"/>
    <col min="8718" max="8961" width="8.72727272727273" style="1"/>
    <col min="8962" max="8962" width="4.72727272727273" style="1" customWidth="1"/>
    <col min="8963" max="8963" width="10.4545454545455" style="1" customWidth="1"/>
    <col min="8964" max="8964" width="12.1818181818182" style="1" customWidth="1"/>
    <col min="8965" max="8965" width="13.1818181818182" style="1" customWidth="1"/>
    <col min="8966" max="8966" width="8.72727272727273" style="1"/>
    <col min="8967" max="8967" width="12" style="1" customWidth="1"/>
    <col min="8968" max="8969" width="8.72727272727273" style="1"/>
    <col min="8970" max="8970" width="18.2727272727273" style="1" customWidth="1"/>
    <col min="8971" max="8971" width="10.8181818181818" style="1" customWidth="1"/>
    <col min="8972" max="8972" width="8.72727272727273" style="1"/>
    <col min="8973" max="8973" width="10.5454545454545" style="1" customWidth="1"/>
    <col min="8974" max="9217" width="8.72727272727273" style="1"/>
    <col min="9218" max="9218" width="4.72727272727273" style="1" customWidth="1"/>
    <col min="9219" max="9219" width="10.4545454545455" style="1" customWidth="1"/>
    <col min="9220" max="9220" width="12.1818181818182" style="1" customWidth="1"/>
    <col min="9221" max="9221" width="13.1818181818182" style="1" customWidth="1"/>
    <col min="9222" max="9222" width="8.72727272727273" style="1"/>
    <col min="9223" max="9223" width="12" style="1" customWidth="1"/>
    <col min="9224" max="9225" width="8.72727272727273" style="1"/>
    <col min="9226" max="9226" width="18.2727272727273" style="1" customWidth="1"/>
    <col min="9227" max="9227" width="10.8181818181818" style="1" customWidth="1"/>
    <col min="9228" max="9228" width="8.72727272727273" style="1"/>
    <col min="9229" max="9229" width="10.5454545454545" style="1" customWidth="1"/>
    <col min="9230" max="9473" width="8.72727272727273" style="1"/>
    <col min="9474" max="9474" width="4.72727272727273" style="1" customWidth="1"/>
    <col min="9475" max="9475" width="10.4545454545455" style="1" customWidth="1"/>
    <col min="9476" max="9476" width="12.1818181818182" style="1" customWidth="1"/>
    <col min="9477" max="9477" width="13.1818181818182" style="1" customWidth="1"/>
    <col min="9478" max="9478" width="8.72727272727273" style="1"/>
    <col min="9479" max="9479" width="12" style="1" customWidth="1"/>
    <col min="9480" max="9481" width="8.72727272727273" style="1"/>
    <col min="9482" max="9482" width="18.2727272727273" style="1" customWidth="1"/>
    <col min="9483" max="9483" width="10.8181818181818" style="1" customWidth="1"/>
    <col min="9484" max="9484" width="8.72727272727273" style="1"/>
    <col min="9485" max="9485" width="10.5454545454545" style="1" customWidth="1"/>
    <col min="9486" max="9729" width="8.72727272727273" style="1"/>
    <col min="9730" max="9730" width="4.72727272727273" style="1" customWidth="1"/>
    <col min="9731" max="9731" width="10.4545454545455" style="1" customWidth="1"/>
    <col min="9732" max="9732" width="12.1818181818182" style="1" customWidth="1"/>
    <col min="9733" max="9733" width="13.1818181818182" style="1" customWidth="1"/>
    <col min="9734" max="9734" width="8.72727272727273" style="1"/>
    <col min="9735" max="9735" width="12" style="1" customWidth="1"/>
    <col min="9736" max="9737" width="8.72727272727273" style="1"/>
    <col min="9738" max="9738" width="18.2727272727273" style="1" customWidth="1"/>
    <col min="9739" max="9739" width="10.8181818181818" style="1" customWidth="1"/>
    <col min="9740" max="9740" width="8.72727272727273" style="1"/>
    <col min="9741" max="9741" width="10.5454545454545" style="1" customWidth="1"/>
    <col min="9742" max="9985" width="8.72727272727273" style="1"/>
    <col min="9986" max="9986" width="4.72727272727273" style="1" customWidth="1"/>
    <col min="9987" max="9987" width="10.4545454545455" style="1" customWidth="1"/>
    <col min="9988" max="9988" width="12.1818181818182" style="1" customWidth="1"/>
    <col min="9989" max="9989" width="13.1818181818182" style="1" customWidth="1"/>
    <col min="9990" max="9990" width="8.72727272727273" style="1"/>
    <col min="9991" max="9991" width="12" style="1" customWidth="1"/>
    <col min="9992" max="9993" width="8.72727272727273" style="1"/>
    <col min="9994" max="9994" width="18.2727272727273" style="1" customWidth="1"/>
    <col min="9995" max="9995" width="10.8181818181818" style="1" customWidth="1"/>
    <col min="9996" max="9996" width="8.72727272727273" style="1"/>
    <col min="9997" max="9997" width="10.5454545454545" style="1" customWidth="1"/>
    <col min="9998" max="10241" width="8.72727272727273" style="1"/>
    <col min="10242" max="10242" width="4.72727272727273" style="1" customWidth="1"/>
    <col min="10243" max="10243" width="10.4545454545455" style="1" customWidth="1"/>
    <col min="10244" max="10244" width="12.1818181818182" style="1" customWidth="1"/>
    <col min="10245" max="10245" width="13.1818181818182" style="1" customWidth="1"/>
    <col min="10246" max="10246" width="8.72727272727273" style="1"/>
    <col min="10247" max="10247" width="12" style="1" customWidth="1"/>
    <col min="10248" max="10249" width="8.72727272727273" style="1"/>
    <col min="10250" max="10250" width="18.2727272727273" style="1" customWidth="1"/>
    <col min="10251" max="10251" width="10.8181818181818" style="1" customWidth="1"/>
    <col min="10252" max="10252" width="8.72727272727273" style="1"/>
    <col min="10253" max="10253" width="10.5454545454545" style="1" customWidth="1"/>
    <col min="10254" max="10497" width="8.72727272727273" style="1"/>
    <col min="10498" max="10498" width="4.72727272727273" style="1" customWidth="1"/>
    <col min="10499" max="10499" width="10.4545454545455" style="1" customWidth="1"/>
    <col min="10500" max="10500" width="12.1818181818182" style="1" customWidth="1"/>
    <col min="10501" max="10501" width="13.1818181818182" style="1" customWidth="1"/>
    <col min="10502" max="10502" width="8.72727272727273" style="1"/>
    <col min="10503" max="10503" width="12" style="1" customWidth="1"/>
    <col min="10504" max="10505" width="8.72727272727273" style="1"/>
    <col min="10506" max="10506" width="18.2727272727273" style="1" customWidth="1"/>
    <col min="10507" max="10507" width="10.8181818181818" style="1" customWidth="1"/>
    <col min="10508" max="10508" width="8.72727272727273" style="1"/>
    <col min="10509" max="10509" width="10.5454545454545" style="1" customWidth="1"/>
    <col min="10510" max="10753" width="8.72727272727273" style="1"/>
    <col min="10754" max="10754" width="4.72727272727273" style="1" customWidth="1"/>
    <col min="10755" max="10755" width="10.4545454545455" style="1" customWidth="1"/>
    <col min="10756" max="10756" width="12.1818181818182" style="1" customWidth="1"/>
    <col min="10757" max="10757" width="13.1818181818182" style="1" customWidth="1"/>
    <col min="10758" max="10758" width="8.72727272727273" style="1"/>
    <col min="10759" max="10759" width="12" style="1" customWidth="1"/>
    <col min="10760" max="10761" width="8.72727272727273" style="1"/>
    <col min="10762" max="10762" width="18.2727272727273" style="1" customWidth="1"/>
    <col min="10763" max="10763" width="10.8181818181818" style="1" customWidth="1"/>
    <col min="10764" max="10764" width="8.72727272727273" style="1"/>
    <col min="10765" max="10765" width="10.5454545454545" style="1" customWidth="1"/>
    <col min="10766" max="11009" width="8.72727272727273" style="1"/>
    <col min="11010" max="11010" width="4.72727272727273" style="1" customWidth="1"/>
    <col min="11011" max="11011" width="10.4545454545455" style="1" customWidth="1"/>
    <col min="11012" max="11012" width="12.1818181818182" style="1" customWidth="1"/>
    <col min="11013" max="11013" width="13.1818181818182" style="1" customWidth="1"/>
    <col min="11014" max="11014" width="8.72727272727273" style="1"/>
    <col min="11015" max="11015" width="12" style="1" customWidth="1"/>
    <col min="11016" max="11017" width="8.72727272727273" style="1"/>
    <col min="11018" max="11018" width="18.2727272727273" style="1" customWidth="1"/>
    <col min="11019" max="11019" width="10.8181818181818" style="1" customWidth="1"/>
    <col min="11020" max="11020" width="8.72727272727273" style="1"/>
    <col min="11021" max="11021" width="10.5454545454545" style="1" customWidth="1"/>
    <col min="11022" max="11265" width="8.72727272727273" style="1"/>
    <col min="11266" max="11266" width="4.72727272727273" style="1" customWidth="1"/>
    <col min="11267" max="11267" width="10.4545454545455" style="1" customWidth="1"/>
    <col min="11268" max="11268" width="12.1818181818182" style="1" customWidth="1"/>
    <col min="11269" max="11269" width="13.1818181818182" style="1" customWidth="1"/>
    <col min="11270" max="11270" width="8.72727272727273" style="1"/>
    <col min="11271" max="11271" width="12" style="1" customWidth="1"/>
    <col min="11272" max="11273" width="8.72727272727273" style="1"/>
    <col min="11274" max="11274" width="18.2727272727273" style="1" customWidth="1"/>
    <col min="11275" max="11275" width="10.8181818181818" style="1" customWidth="1"/>
    <col min="11276" max="11276" width="8.72727272727273" style="1"/>
    <col min="11277" max="11277" width="10.5454545454545" style="1" customWidth="1"/>
    <col min="11278" max="11521" width="8.72727272727273" style="1"/>
    <col min="11522" max="11522" width="4.72727272727273" style="1" customWidth="1"/>
    <col min="11523" max="11523" width="10.4545454545455" style="1" customWidth="1"/>
    <col min="11524" max="11524" width="12.1818181818182" style="1" customWidth="1"/>
    <col min="11525" max="11525" width="13.1818181818182" style="1" customWidth="1"/>
    <col min="11526" max="11526" width="8.72727272727273" style="1"/>
    <col min="11527" max="11527" width="12" style="1" customWidth="1"/>
    <col min="11528" max="11529" width="8.72727272727273" style="1"/>
    <col min="11530" max="11530" width="18.2727272727273" style="1" customWidth="1"/>
    <col min="11531" max="11531" width="10.8181818181818" style="1" customWidth="1"/>
    <col min="11532" max="11532" width="8.72727272727273" style="1"/>
    <col min="11533" max="11533" width="10.5454545454545" style="1" customWidth="1"/>
    <col min="11534" max="11777" width="8.72727272727273" style="1"/>
    <col min="11778" max="11778" width="4.72727272727273" style="1" customWidth="1"/>
    <col min="11779" max="11779" width="10.4545454545455" style="1" customWidth="1"/>
    <col min="11780" max="11780" width="12.1818181818182" style="1" customWidth="1"/>
    <col min="11781" max="11781" width="13.1818181818182" style="1" customWidth="1"/>
    <col min="11782" max="11782" width="8.72727272727273" style="1"/>
    <col min="11783" max="11783" width="12" style="1" customWidth="1"/>
    <col min="11784" max="11785" width="8.72727272727273" style="1"/>
    <col min="11786" max="11786" width="18.2727272727273" style="1" customWidth="1"/>
    <col min="11787" max="11787" width="10.8181818181818" style="1" customWidth="1"/>
    <col min="11788" max="11788" width="8.72727272727273" style="1"/>
    <col min="11789" max="11789" width="10.5454545454545" style="1" customWidth="1"/>
    <col min="11790" max="12033" width="8.72727272727273" style="1"/>
    <col min="12034" max="12034" width="4.72727272727273" style="1" customWidth="1"/>
    <col min="12035" max="12035" width="10.4545454545455" style="1" customWidth="1"/>
    <col min="12036" max="12036" width="12.1818181818182" style="1" customWidth="1"/>
    <col min="12037" max="12037" width="13.1818181818182" style="1" customWidth="1"/>
    <col min="12038" max="12038" width="8.72727272727273" style="1"/>
    <col min="12039" max="12039" width="12" style="1" customWidth="1"/>
    <col min="12040" max="12041" width="8.72727272727273" style="1"/>
    <col min="12042" max="12042" width="18.2727272727273" style="1" customWidth="1"/>
    <col min="12043" max="12043" width="10.8181818181818" style="1" customWidth="1"/>
    <col min="12044" max="12044" width="8.72727272727273" style="1"/>
    <col min="12045" max="12045" width="10.5454545454545" style="1" customWidth="1"/>
    <col min="12046" max="12289" width="8.72727272727273" style="1"/>
    <col min="12290" max="12290" width="4.72727272727273" style="1" customWidth="1"/>
    <col min="12291" max="12291" width="10.4545454545455" style="1" customWidth="1"/>
    <col min="12292" max="12292" width="12.1818181818182" style="1" customWidth="1"/>
    <col min="12293" max="12293" width="13.1818181818182" style="1" customWidth="1"/>
    <col min="12294" max="12294" width="8.72727272727273" style="1"/>
    <col min="12295" max="12295" width="12" style="1" customWidth="1"/>
    <col min="12296" max="12297" width="8.72727272727273" style="1"/>
    <col min="12298" max="12298" width="18.2727272727273" style="1" customWidth="1"/>
    <col min="12299" max="12299" width="10.8181818181818" style="1" customWidth="1"/>
    <col min="12300" max="12300" width="8.72727272727273" style="1"/>
    <col min="12301" max="12301" width="10.5454545454545" style="1" customWidth="1"/>
    <col min="12302" max="12545" width="8.72727272727273" style="1"/>
    <col min="12546" max="12546" width="4.72727272727273" style="1" customWidth="1"/>
    <col min="12547" max="12547" width="10.4545454545455" style="1" customWidth="1"/>
    <col min="12548" max="12548" width="12.1818181818182" style="1" customWidth="1"/>
    <col min="12549" max="12549" width="13.1818181818182" style="1" customWidth="1"/>
    <col min="12550" max="12550" width="8.72727272727273" style="1"/>
    <col min="12551" max="12551" width="12" style="1" customWidth="1"/>
    <col min="12552" max="12553" width="8.72727272727273" style="1"/>
    <col min="12554" max="12554" width="18.2727272727273" style="1" customWidth="1"/>
    <col min="12555" max="12555" width="10.8181818181818" style="1" customWidth="1"/>
    <col min="12556" max="12556" width="8.72727272727273" style="1"/>
    <col min="12557" max="12557" width="10.5454545454545" style="1" customWidth="1"/>
    <col min="12558" max="12801" width="8.72727272727273" style="1"/>
    <col min="12802" max="12802" width="4.72727272727273" style="1" customWidth="1"/>
    <col min="12803" max="12803" width="10.4545454545455" style="1" customWidth="1"/>
    <col min="12804" max="12804" width="12.1818181818182" style="1" customWidth="1"/>
    <col min="12805" max="12805" width="13.1818181818182" style="1" customWidth="1"/>
    <col min="12806" max="12806" width="8.72727272727273" style="1"/>
    <col min="12807" max="12807" width="12" style="1" customWidth="1"/>
    <col min="12808" max="12809" width="8.72727272727273" style="1"/>
    <col min="12810" max="12810" width="18.2727272727273" style="1" customWidth="1"/>
    <col min="12811" max="12811" width="10.8181818181818" style="1" customWidth="1"/>
    <col min="12812" max="12812" width="8.72727272727273" style="1"/>
    <col min="12813" max="12813" width="10.5454545454545" style="1" customWidth="1"/>
    <col min="12814" max="13057" width="8.72727272727273" style="1"/>
    <col min="13058" max="13058" width="4.72727272727273" style="1" customWidth="1"/>
    <col min="13059" max="13059" width="10.4545454545455" style="1" customWidth="1"/>
    <col min="13060" max="13060" width="12.1818181818182" style="1" customWidth="1"/>
    <col min="13061" max="13061" width="13.1818181818182" style="1" customWidth="1"/>
    <col min="13062" max="13062" width="8.72727272727273" style="1"/>
    <col min="13063" max="13063" width="12" style="1" customWidth="1"/>
    <col min="13064" max="13065" width="8.72727272727273" style="1"/>
    <col min="13066" max="13066" width="18.2727272727273" style="1" customWidth="1"/>
    <col min="13067" max="13067" width="10.8181818181818" style="1" customWidth="1"/>
    <col min="13068" max="13068" width="8.72727272727273" style="1"/>
    <col min="13069" max="13069" width="10.5454545454545" style="1" customWidth="1"/>
    <col min="13070" max="13313" width="8.72727272727273" style="1"/>
    <col min="13314" max="13314" width="4.72727272727273" style="1" customWidth="1"/>
    <col min="13315" max="13315" width="10.4545454545455" style="1" customWidth="1"/>
    <col min="13316" max="13316" width="12.1818181818182" style="1" customWidth="1"/>
    <col min="13317" max="13317" width="13.1818181818182" style="1" customWidth="1"/>
    <col min="13318" max="13318" width="8.72727272727273" style="1"/>
    <col min="13319" max="13319" width="12" style="1" customWidth="1"/>
    <col min="13320" max="13321" width="8.72727272727273" style="1"/>
    <col min="13322" max="13322" width="18.2727272727273" style="1" customWidth="1"/>
    <col min="13323" max="13323" width="10.8181818181818" style="1" customWidth="1"/>
    <col min="13324" max="13324" width="8.72727272727273" style="1"/>
    <col min="13325" max="13325" width="10.5454545454545" style="1" customWidth="1"/>
    <col min="13326" max="13569" width="8.72727272727273" style="1"/>
    <col min="13570" max="13570" width="4.72727272727273" style="1" customWidth="1"/>
    <col min="13571" max="13571" width="10.4545454545455" style="1" customWidth="1"/>
    <col min="13572" max="13572" width="12.1818181818182" style="1" customWidth="1"/>
    <col min="13573" max="13573" width="13.1818181818182" style="1" customWidth="1"/>
    <col min="13574" max="13574" width="8.72727272727273" style="1"/>
    <col min="13575" max="13575" width="12" style="1" customWidth="1"/>
    <col min="13576" max="13577" width="8.72727272727273" style="1"/>
    <col min="13578" max="13578" width="18.2727272727273" style="1" customWidth="1"/>
    <col min="13579" max="13579" width="10.8181818181818" style="1" customWidth="1"/>
    <col min="13580" max="13580" width="8.72727272727273" style="1"/>
    <col min="13581" max="13581" width="10.5454545454545" style="1" customWidth="1"/>
    <col min="13582" max="13825" width="8.72727272727273" style="1"/>
    <col min="13826" max="13826" width="4.72727272727273" style="1" customWidth="1"/>
    <col min="13827" max="13827" width="10.4545454545455" style="1" customWidth="1"/>
    <col min="13828" max="13828" width="12.1818181818182" style="1" customWidth="1"/>
    <col min="13829" max="13829" width="13.1818181818182" style="1" customWidth="1"/>
    <col min="13830" max="13830" width="8.72727272727273" style="1"/>
    <col min="13831" max="13831" width="12" style="1" customWidth="1"/>
    <col min="13832" max="13833" width="8.72727272727273" style="1"/>
    <col min="13834" max="13834" width="18.2727272727273" style="1" customWidth="1"/>
    <col min="13835" max="13835" width="10.8181818181818" style="1" customWidth="1"/>
    <col min="13836" max="13836" width="8.72727272727273" style="1"/>
    <col min="13837" max="13837" width="10.5454545454545" style="1" customWidth="1"/>
    <col min="13838" max="14081" width="8.72727272727273" style="1"/>
    <col min="14082" max="14082" width="4.72727272727273" style="1" customWidth="1"/>
    <col min="14083" max="14083" width="10.4545454545455" style="1" customWidth="1"/>
    <col min="14084" max="14084" width="12.1818181818182" style="1" customWidth="1"/>
    <col min="14085" max="14085" width="13.1818181818182" style="1" customWidth="1"/>
    <col min="14086" max="14086" width="8.72727272727273" style="1"/>
    <col min="14087" max="14087" width="12" style="1" customWidth="1"/>
    <col min="14088" max="14089" width="8.72727272727273" style="1"/>
    <col min="14090" max="14090" width="18.2727272727273" style="1" customWidth="1"/>
    <col min="14091" max="14091" width="10.8181818181818" style="1" customWidth="1"/>
    <col min="14092" max="14092" width="8.72727272727273" style="1"/>
    <col min="14093" max="14093" width="10.5454545454545" style="1" customWidth="1"/>
    <col min="14094" max="14337" width="8.72727272727273" style="1"/>
    <col min="14338" max="14338" width="4.72727272727273" style="1" customWidth="1"/>
    <col min="14339" max="14339" width="10.4545454545455" style="1" customWidth="1"/>
    <col min="14340" max="14340" width="12.1818181818182" style="1" customWidth="1"/>
    <col min="14341" max="14341" width="13.1818181818182" style="1" customWidth="1"/>
    <col min="14342" max="14342" width="8.72727272727273" style="1"/>
    <col min="14343" max="14343" width="12" style="1" customWidth="1"/>
    <col min="14344" max="14345" width="8.72727272727273" style="1"/>
    <col min="14346" max="14346" width="18.2727272727273" style="1" customWidth="1"/>
    <col min="14347" max="14347" width="10.8181818181818" style="1" customWidth="1"/>
    <col min="14348" max="14348" width="8.72727272727273" style="1"/>
    <col min="14349" max="14349" width="10.5454545454545" style="1" customWidth="1"/>
    <col min="14350" max="14593" width="8.72727272727273" style="1"/>
    <col min="14594" max="14594" width="4.72727272727273" style="1" customWidth="1"/>
    <col min="14595" max="14595" width="10.4545454545455" style="1" customWidth="1"/>
    <col min="14596" max="14596" width="12.1818181818182" style="1" customWidth="1"/>
    <col min="14597" max="14597" width="13.1818181818182" style="1" customWidth="1"/>
    <col min="14598" max="14598" width="8.72727272727273" style="1"/>
    <col min="14599" max="14599" width="12" style="1" customWidth="1"/>
    <col min="14600" max="14601" width="8.72727272727273" style="1"/>
    <col min="14602" max="14602" width="18.2727272727273" style="1" customWidth="1"/>
    <col min="14603" max="14603" width="10.8181818181818" style="1" customWidth="1"/>
    <col min="14604" max="14604" width="8.72727272727273" style="1"/>
    <col min="14605" max="14605" width="10.5454545454545" style="1" customWidth="1"/>
    <col min="14606" max="14849" width="8.72727272727273" style="1"/>
    <col min="14850" max="14850" width="4.72727272727273" style="1" customWidth="1"/>
    <col min="14851" max="14851" width="10.4545454545455" style="1" customWidth="1"/>
    <col min="14852" max="14852" width="12.1818181818182" style="1" customWidth="1"/>
    <col min="14853" max="14853" width="13.1818181818182" style="1" customWidth="1"/>
    <col min="14854" max="14854" width="8.72727272727273" style="1"/>
    <col min="14855" max="14855" width="12" style="1" customWidth="1"/>
    <col min="14856" max="14857" width="8.72727272727273" style="1"/>
    <col min="14858" max="14858" width="18.2727272727273" style="1" customWidth="1"/>
    <col min="14859" max="14859" width="10.8181818181818" style="1" customWidth="1"/>
    <col min="14860" max="14860" width="8.72727272727273" style="1"/>
    <col min="14861" max="14861" width="10.5454545454545" style="1" customWidth="1"/>
    <col min="14862" max="15105" width="8.72727272727273" style="1"/>
    <col min="15106" max="15106" width="4.72727272727273" style="1" customWidth="1"/>
    <col min="15107" max="15107" width="10.4545454545455" style="1" customWidth="1"/>
    <col min="15108" max="15108" width="12.1818181818182" style="1" customWidth="1"/>
    <col min="15109" max="15109" width="13.1818181818182" style="1" customWidth="1"/>
    <col min="15110" max="15110" width="8.72727272727273" style="1"/>
    <col min="15111" max="15111" width="12" style="1" customWidth="1"/>
    <col min="15112" max="15113" width="8.72727272727273" style="1"/>
    <col min="15114" max="15114" width="18.2727272727273" style="1" customWidth="1"/>
    <col min="15115" max="15115" width="10.8181818181818" style="1" customWidth="1"/>
    <col min="15116" max="15116" width="8.72727272727273" style="1"/>
    <col min="15117" max="15117" width="10.5454545454545" style="1" customWidth="1"/>
    <col min="15118" max="15361" width="8.72727272727273" style="1"/>
    <col min="15362" max="15362" width="4.72727272727273" style="1" customWidth="1"/>
    <col min="15363" max="15363" width="10.4545454545455" style="1" customWidth="1"/>
    <col min="15364" max="15364" width="12.1818181818182" style="1" customWidth="1"/>
    <col min="15365" max="15365" width="13.1818181818182" style="1" customWidth="1"/>
    <col min="15366" max="15366" width="8.72727272727273" style="1"/>
    <col min="15367" max="15367" width="12" style="1" customWidth="1"/>
    <col min="15368" max="15369" width="8.72727272727273" style="1"/>
    <col min="15370" max="15370" width="18.2727272727273" style="1" customWidth="1"/>
    <col min="15371" max="15371" width="10.8181818181818" style="1" customWidth="1"/>
    <col min="15372" max="15372" width="8.72727272727273" style="1"/>
    <col min="15373" max="15373" width="10.5454545454545" style="1" customWidth="1"/>
    <col min="15374" max="15617" width="8.72727272727273" style="1"/>
    <col min="15618" max="15618" width="4.72727272727273" style="1" customWidth="1"/>
    <col min="15619" max="15619" width="10.4545454545455" style="1" customWidth="1"/>
    <col min="15620" max="15620" width="12.1818181818182" style="1" customWidth="1"/>
    <col min="15621" max="15621" width="13.1818181818182" style="1" customWidth="1"/>
    <col min="15622" max="15622" width="8.72727272727273" style="1"/>
    <col min="15623" max="15623" width="12" style="1" customWidth="1"/>
    <col min="15624" max="15625" width="8.72727272727273" style="1"/>
    <col min="15626" max="15626" width="18.2727272727273" style="1" customWidth="1"/>
    <col min="15627" max="15627" width="10.8181818181818" style="1" customWidth="1"/>
    <col min="15628" max="15628" width="8.72727272727273" style="1"/>
    <col min="15629" max="15629" width="10.5454545454545" style="1" customWidth="1"/>
    <col min="15630" max="15873" width="8.72727272727273" style="1"/>
    <col min="15874" max="15874" width="4.72727272727273" style="1" customWidth="1"/>
    <col min="15875" max="15875" width="10.4545454545455" style="1" customWidth="1"/>
    <col min="15876" max="15876" width="12.1818181818182" style="1" customWidth="1"/>
    <col min="15877" max="15877" width="13.1818181818182" style="1" customWidth="1"/>
    <col min="15878" max="15878" width="8.72727272727273" style="1"/>
    <col min="15879" max="15879" width="12" style="1" customWidth="1"/>
    <col min="15880" max="15881" width="8.72727272727273" style="1"/>
    <col min="15882" max="15882" width="18.2727272727273" style="1" customWidth="1"/>
    <col min="15883" max="15883" width="10.8181818181818" style="1" customWidth="1"/>
    <col min="15884" max="15884" width="8.72727272727273" style="1"/>
    <col min="15885" max="15885" width="10.5454545454545" style="1" customWidth="1"/>
    <col min="15886" max="16129" width="8.72727272727273" style="1"/>
    <col min="16130" max="16130" width="4.72727272727273" style="1" customWidth="1"/>
    <col min="16131" max="16131" width="10.4545454545455" style="1" customWidth="1"/>
    <col min="16132" max="16132" width="12.1818181818182" style="1" customWidth="1"/>
    <col min="16133" max="16133" width="13.1818181818182" style="1" customWidth="1"/>
    <col min="16134" max="16134" width="8.72727272727273" style="1"/>
    <col min="16135" max="16135" width="12" style="1" customWidth="1"/>
    <col min="16136" max="16137" width="8.72727272727273" style="1"/>
    <col min="16138" max="16138" width="18.2727272727273" style="1" customWidth="1"/>
    <col min="16139" max="16139" width="10.8181818181818" style="1" customWidth="1"/>
    <col min="16140" max="16140" width="8.72727272727273" style="1"/>
    <col min="16141" max="16141" width="10.5454545454545" style="1" customWidth="1"/>
    <col min="16142" max="16384" width="8.72727272727273" style="1"/>
  </cols>
  <sheetData>
    <row r="1" s="1" customFormat="1" spans="2:13">
      <c r="B1" s="2" t="s">
        <v>54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2:13">
      <c r="B2" s="2" t="s">
        <v>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="1" customFormat="1" ht="68.75" spans="2:13">
      <c r="B4" s="3" t="s">
        <v>56</v>
      </c>
      <c r="C4" s="4" t="s">
        <v>57</v>
      </c>
      <c r="D4" s="5" t="s">
        <v>58</v>
      </c>
      <c r="E4" s="6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  <c r="K4" s="4" t="s">
        <v>65</v>
      </c>
      <c r="L4" s="6" t="s">
        <v>66</v>
      </c>
      <c r="M4" s="20" t="s">
        <v>67</v>
      </c>
    </row>
    <row r="5" s="1" customFormat="1" spans="2:13">
      <c r="B5" s="7">
        <v>1</v>
      </c>
      <c r="C5" s="8" t="s">
        <v>68</v>
      </c>
      <c r="D5" s="8" t="s">
        <v>69</v>
      </c>
      <c r="E5" s="8" t="str" cm="1">
        <f t="array" ref="E5">_xlfn.IFS(LEFT(C5)="K","Keuangan",LEFT(C5)="D","Direksi",LEFT(C5)="P","Personalia",LEFT(C5)="A","Administrasi")</f>
        <v>Keuangan</v>
      </c>
      <c r="F5" s="8">
        <v>4</v>
      </c>
      <c r="G5" s="8" t="str" cm="1">
        <f t="array" ref="G5">_xlfn.IFS(MID(C5,3,1)="K","Kawin",MID(C5,3,1)="J","Janda",MID(C5,3,1)="D","Duda",MID(C5,3,1)="B","Belum")</f>
        <v>Kawin</v>
      </c>
      <c r="H5" s="9">
        <f>VALUE(RIGHT(C5,1))</f>
        <v>2</v>
      </c>
      <c r="I5" s="21">
        <v>295000</v>
      </c>
      <c r="J5" s="22" cm="1">
        <f t="array" ref="J5">_xlfn.IFS(E5="Direksi",350000,E5="Keuangan",150000,E5="Personalia",250000,E5="Administrasi",0)</f>
        <v>150000</v>
      </c>
      <c r="K5" s="23" cm="1">
        <f t="array" ref="K5">_xlfn.IFS(H5=0,0,H5&lt;=3,5%*I5*H5,H5&gt;3,8%*I5*H5)</f>
        <v>29500</v>
      </c>
      <c r="L5" s="23" cm="1">
        <f t="array" ref="L5">_xlfn.IFS(K5&lt;=30000,0,K5&gt;30000,K5*2%)</f>
        <v>0</v>
      </c>
      <c r="M5" s="24">
        <f t="shared" ref="M5:M14" si="0">I5+J5+K5-L5</f>
        <v>474500</v>
      </c>
    </row>
    <row r="6" s="1" customFormat="1" spans="2:13">
      <c r="B6" s="10">
        <v>2</v>
      </c>
      <c r="C6" s="11" t="s">
        <v>70</v>
      </c>
      <c r="D6" s="11" t="s">
        <v>71</v>
      </c>
      <c r="E6" s="8" t="str" cm="1">
        <f t="array" ref="E6">_xlfn.IFS(LEFT(C6)="K","Keuangan",LEFT(C6)="D","Direksi",LEFT(C6)="P","Personalia",LEFT(C6)="A","Administrasi")</f>
        <v>Direksi</v>
      </c>
      <c r="F6" s="11">
        <v>9</v>
      </c>
      <c r="G6" s="8" t="str" cm="1">
        <f t="array" ref="G6">_xlfn.IFS(MID(C6,3,1)="K","Kawin",MID(C6,3,1)="J","Janda",MID(C6,3,1)="D","Duda",MID(C6,3,1)="B","Belum")</f>
        <v>Kawin</v>
      </c>
      <c r="H6" s="9">
        <f t="shared" ref="H5:H14" si="1">VALUE(RIGHT(C6,1))</f>
        <v>3</v>
      </c>
      <c r="I6" s="21">
        <v>295000</v>
      </c>
      <c r="J6" s="22" cm="1">
        <f t="array" ref="J6">_xlfn.IFS(E6="Direksi",350000,E6="Keuangan",150000,E6="Personalia",250000,E6="Administrasi",0)</f>
        <v>350000</v>
      </c>
      <c r="K6" s="23" cm="1">
        <f t="array" ref="K6">_xlfn.IFS(H6=0,0,H6&lt;=3,5%*I6*H6,H6&gt;3,8%*I6*H6)</f>
        <v>44250</v>
      </c>
      <c r="L6" s="23" cm="1">
        <f t="array" ref="L6">_xlfn.IFS(K6&lt;=30000,0,K6&gt;30000,K6*2%)</f>
        <v>885</v>
      </c>
      <c r="M6" s="24">
        <f t="shared" si="0"/>
        <v>688365</v>
      </c>
    </row>
    <row r="7" s="1" customFormat="1" spans="2:15">
      <c r="B7" s="10">
        <v>3</v>
      </c>
      <c r="C7" s="11" t="s">
        <v>72</v>
      </c>
      <c r="D7" s="11" t="s">
        <v>73</v>
      </c>
      <c r="E7" s="8" t="str" cm="1">
        <f t="array" ref="E7">_xlfn.IFS(LEFT(C7)="K","Keuangan",LEFT(C7)="D","Direksi",LEFT(C7)="P","Personalia",LEFT(C7)="A","Administrasi")</f>
        <v>Personalia</v>
      </c>
      <c r="F7" s="11">
        <v>3</v>
      </c>
      <c r="G7" s="8" t="str" cm="1">
        <f t="array" ref="G7">_xlfn.IFS(MID(C7,3,1)="K","Kawin",MID(C7,3,1)="J","Janda",MID(C7,3,1)="D","Duda",MID(C7,3,1)="B","Belum")</f>
        <v>Janda</v>
      </c>
      <c r="H7" s="9">
        <f t="shared" si="1"/>
        <v>4</v>
      </c>
      <c r="I7" s="21">
        <v>295000</v>
      </c>
      <c r="J7" s="22" cm="1">
        <f t="array" ref="J7">_xlfn.IFS(E7="Direksi",350000,E7="Keuangan",150000,E7="Personalia",250000,E7="Administrasi",0)</f>
        <v>250000</v>
      </c>
      <c r="K7" s="23" cm="1">
        <f t="array" ref="K7">_xlfn.IFS(H7=0,0,H7&lt;=3,5%*I7*H7,H7&gt;3,8%*I7*H7)</f>
        <v>94400</v>
      </c>
      <c r="L7" s="23" cm="1">
        <f t="array" ref="L7">_xlfn.IFS(K7&lt;=30000,0,K7&gt;30000,K7*2%)</f>
        <v>1888</v>
      </c>
      <c r="M7" s="24">
        <f t="shared" si="0"/>
        <v>637512</v>
      </c>
      <c r="N7" s="25"/>
      <c r="O7" s="25"/>
    </row>
    <row r="8" s="1" customFormat="1" spans="2:13">
      <c r="B8" s="10">
        <v>4</v>
      </c>
      <c r="C8" s="11" t="s">
        <v>74</v>
      </c>
      <c r="D8" s="11" t="s">
        <v>75</v>
      </c>
      <c r="E8" s="8" t="str" cm="1">
        <f t="array" ref="E8">_xlfn.IFS(LEFT(C8)="K","Keuangan",LEFT(C8)="D","Direksi",LEFT(C8)="P","Personalia",LEFT(C8)="A","Administrasi")</f>
        <v>Administrasi</v>
      </c>
      <c r="F8" s="11">
        <v>2</v>
      </c>
      <c r="G8" s="8" t="str" cm="1">
        <f t="array" ref="G8">_xlfn.IFS(MID(C8,3,1)="K","Kawin",MID(C8,3,1)="J","Janda",MID(C8,3,1)="D","Duda",MID(C8,3,1)="B","Belum")</f>
        <v>Duda</v>
      </c>
      <c r="H8" s="9">
        <f t="shared" si="1"/>
        <v>4</v>
      </c>
      <c r="I8" s="21">
        <v>295000</v>
      </c>
      <c r="J8" s="22" cm="1">
        <f t="array" ref="J8">_xlfn.IFS(E8="Direksi",350000,E8="Keuangan",150000,E8="Personalia",250000,E8="Administrasi",0)</f>
        <v>0</v>
      </c>
      <c r="K8" s="23" cm="1">
        <f t="array" ref="K8">_xlfn.IFS(H8=0,0,H8&lt;=3,5%*I8*H8,H8&gt;3,8%*I8*H8)</f>
        <v>94400</v>
      </c>
      <c r="L8" s="23" cm="1">
        <f t="array" ref="L8">_xlfn.IFS(K8&lt;=30000,0,K8&gt;30000,K8*2%)</f>
        <v>1888</v>
      </c>
      <c r="M8" s="24">
        <f t="shared" si="0"/>
        <v>387512</v>
      </c>
    </row>
    <row r="9" s="1" customFormat="1" spans="2:13">
      <c r="B9" s="10">
        <v>5</v>
      </c>
      <c r="C9" s="11" t="s">
        <v>76</v>
      </c>
      <c r="D9" s="11" t="s">
        <v>77</v>
      </c>
      <c r="E9" s="8" t="str" cm="1">
        <f t="array" ref="E9">_xlfn.IFS(LEFT(C9)="K","Keuangan",LEFT(C9)="D","Direksi",LEFT(C9)="P","Personalia",LEFT(C9)="A","Administrasi")</f>
        <v>Keuangan</v>
      </c>
      <c r="F9" s="11">
        <v>5</v>
      </c>
      <c r="G9" s="8" t="str" cm="1">
        <f t="array" ref="G9">_xlfn.IFS(MID(C9,3,1)="K","Kawin",MID(C9,3,1)="J","Janda",MID(C9,3,1)="D","Duda",MID(C9,3,1)="B","Belum")</f>
        <v>Belum</v>
      </c>
      <c r="H9" s="9">
        <f t="shared" si="1"/>
        <v>0</v>
      </c>
      <c r="I9" s="21">
        <v>295000</v>
      </c>
      <c r="J9" s="22" cm="1">
        <f t="array" ref="J9">_xlfn.IFS(E9="Direksi",350000,E9="Keuangan",150000,E9="Personalia",250000,E9="Administrasi",0)</f>
        <v>150000</v>
      </c>
      <c r="K9" s="23" cm="1">
        <f t="array" ref="K9">_xlfn.IFS(H9=0,0,H9&lt;=3,5%*I9*H9,H9&gt;3,8%*I9*H9)</f>
        <v>0</v>
      </c>
      <c r="L9" s="23" cm="1">
        <f t="array" ref="L9">_xlfn.IFS(K9&lt;=30000,0,K9&gt;30000,K9*2%)</f>
        <v>0</v>
      </c>
      <c r="M9" s="24">
        <f t="shared" si="0"/>
        <v>445000</v>
      </c>
    </row>
    <row r="10" s="1" customFormat="1" spans="2:13">
      <c r="B10" s="10">
        <v>6</v>
      </c>
      <c r="C10" s="11" t="s">
        <v>78</v>
      </c>
      <c r="D10" s="11" t="s">
        <v>79</v>
      </c>
      <c r="E10" s="8" t="str" cm="1">
        <f t="array" ref="E10">_xlfn.IFS(LEFT(C10)="K","Keuangan",LEFT(C10)="D","Direksi",LEFT(C10)="P","Personalia",LEFT(C10)="A","Administrasi")</f>
        <v>Keuangan</v>
      </c>
      <c r="F10" s="11">
        <v>1</v>
      </c>
      <c r="G10" s="8" t="str" cm="1">
        <f t="array" ref="G10">_xlfn.IFS(MID(C10,3,1)="K","Kawin",MID(C10,3,1)="J","Janda",MID(C10,3,1)="D","Duda",MID(C10,3,1)="B","Belum")</f>
        <v>Kawin</v>
      </c>
      <c r="H10" s="9">
        <f t="shared" si="1"/>
        <v>5</v>
      </c>
      <c r="I10" s="21">
        <v>295000</v>
      </c>
      <c r="J10" s="22" cm="1">
        <f t="array" ref="J10">_xlfn.IFS(E10="Direksi",350000,E10="Keuangan",150000,E10="Personalia",250000,E10="Administrasi",0)</f>
        <v>150000</v>
      </c>
      <c r="K10" s="23" cm="1">
        <f t="array" ref="K10">_xlfn.IFS(H10=0,0,H10&lt;=3,5%*I10*H10,H10&gt;3,8%*I10*H10)</f>
        <v>118000</v>
      </c>
      <c r="L10" s="23" cm="1">
        <f t="array" ref="L10">_xlfn.IFS(K10&lt;=30000,0,K10&gt;30000,K10*2%)</f>
        <v>2360</v>
      </c>
      <c r="M10" s="24">
        <f t="shared" si="0"/>
        <v>560640</v>
      </c>
    </row>
    <row r="11" s="1" customFormat="1" spans="2:13">
      <c r="B11" s="10">
        <v>7</v>
      </c>
      <c r="C11" s="11" t="s">
        <v>80</v>
      </c>
      <c r="D11" s="11" t="s">
        <v>81</v>
      </c>
      <c r="E11" s="8" t="str" cm="1">
        <f t="array" ref="E11">_xlfn.IFS(LEFT(C11)="K","Keuangan",LEFT(C11)="D","Direksi",LEFT(C11)="P","Personalia",LEFT(C11)="A","Administrasi")</f>
        <v>Administrasi</v>
      </c>
      <c r="F11" s="11">
        <v>6</v>
      </c>
      <c r="G11" s="8" t="str" cm="1">
        <f t="array" ref="G11">_xlfn.IFS(MID(C11,3,1)="K","Kawin",MID(C11,3,1)="J","Janda",MID(C11,3,1)="D","Duda",MID(C11,3,1)="B","Belum")</f>
        <v>Belum</v>
      </c>
      <c r="H11" s="9">
        <f t="shared" si="1"/>
        <v>0</v>
      </c>
      <c r="I11" s="21">
        <v>295000</v>
      </c>
      <c r="J11" s="22" cm="1">
        <f t="array" ref="J11">_xlfn.IFS(E11="Direksi",350000,E11="Keuangan",150000,E11="Personalia",250000,E11="Administrasi",0)</f>
        <v>0</v>
      </c>
      <c r="K11" s="23" cm="1">
        <f t="array" ref="K11">_xlfn.IFS(H11=0,0,H11&lt;=3,5%*I11*H11,H11&gt;3,8%*I11*H11)</f>
        <v>0</v>
      </c>
      <c r="L11" s="23" cm="1">
        <f t="array" ref="L11">_xlfn.IFS(K11&lt;=30000,0,K11&gt;30000,K11*2%)</f>
        <v>0</v>
      </c>
      <c r="M11" s="24">
        <f t="shared" si="0"/>
        <v>295000</v>
      </c>
    </row>
    <row r="12" s="1" customFormat="1" spans="2:13">
      <c r="B12" s="10">
        <v>8</v>
      </c>
      <c r="C12" s="11" t="s">
        <v>82</v>
      </c>
      <c r="D12" s="11" t="s">
        <v>83</v>
      </c>
      <c r="E12" s="8" t="str" cm="1">
        <f t="array" ref="E12">_xlfn.IFS(LEFT(C12)="K","Keuangan",LEFT(C12)="D","Direksi",LEFT(C12)="P","Personalia",LEFT(C12)="A","Administrasi")</f>
        <v>Administrasi</v>
      </c>
      <c r="F12" s="11">
        <v>9</v>
      </c>
      <c r="G12" s="8" t="str" cm="1">
        <f t="array" ref="G12">_xlfn.IFS(MID(C12,3,1)="K","Kawin",MID(C12,3,1)="J","Janda",MID(C12,3,1)="D","Duda",MID(C12,3,1)="B","Belum")</f>
        <v>Duda</v>
      </c>
      <c r="H12" s="9">
        <f t="shared" si="1"/>
        <v>2</v>
      </c>
      <c r="I12" s="21">
        <v>295000</v>
      </c>
      <c r="J12" s="22" cm="1">
        <f t="array" ref="J12">_xlfn.IFS(E12="Direksi",350000,E12="Keuangan",150000,E12="Personalia",250000,E12="Administrasi",0)</f>
        <v>0</v>
      </c>
      <c r="K12" s="23" cm="1">
        <f t="array" ref="K12">_xlfn.IFS(H12=0,0,H12&lt;=3,5%*I12*H12,H12&gt;3,8%*I12*H12)</f>
        <v>29500</v>
      </c>
      <c r="L12" s="23" cm="1">
        <f t="array" ref="L12">_xlfn.IFS(K12&lt;=30000,0,K12&gt;30000,K12*2%)</f>
        <v>0</v>
      </c>
      <c r="M12" s="24">
        <f t="shared" si="0"/>
        <v>324500</v>
      </c>
    </row>
    <row r="13" s="1" customFormat="1" spans="2:13">
      <c r="B13" s="10">
        <v>9</v>
      </c>
      <c r="C13" s="11" t="s">
        <v>84</v>
      </c>
      <c r="D13" s="11" t="s">
        <v>85</v>
      </c>
      <c r="E13" s="8" t="str" cm="1">
        <f t="array" ref="E13">_xlfn.IFS(LEFT(C13)="K","Keuangan",LEFT(C13)="D","Direksi",LEFT(C13)="P","Personalia",LEFT(C13)="A","Administrasi")</f>
        <v>Personalia</v>
      </c>
      <c r="F13" s="11">
        <v>7</v>
      </c>
      <c r="G13" s="8" t="str" cm="1">
        <f t="array" ref="G13">_xlfn.IFS(MID(C13,3,1)="K","Kawin",MID(C13,3,1)="J","Janda",MID(C13,3,1)="D","Duda",MID(C13,3,1)="B","Belum")</f>
        <v>Duda</v>
      </c>
      <c r="H13" s="9">
        <f t="shared" si="1"/>
        <v>0</v>
      </c>
      <c r="I13" s="21">
        <v>295000</v>
      </c>
      <c r="J13" s="22" cm="1">
        <f t="array" ref="J13">_xlfn.IFS(E13="Direksi",350000,E13="Keuangan",150000,E13="Personalia",250000,E13="Administrasi",0)</f>
        <v>250000</v>
      </c>
      <c r="K13" s="23" cm="1">
        <f t="array" ref="K13">_xlfn.IFS(H13=0,0,H13&lt;=3,5%*I13*H13,H13&gt;3,8%*I13*H13)</f>
        <v>0</v>
      </c>
      <c r="L13" s="23" cm="1">
        <f t="array" ref="L13">_xlfn.IFS(K13&lt;=30000,0,K13&gt;30000,K13*2%)</f>
        <v>0</v>
      </c>
      <c r="M13" s="24">
        <f t="shared" si="0"/>
        <v>545000</v>
      </c>
    </row>
    <row r="14" s="1" customFormat="1" ht="17.75" spans="2:13">
      <c r="B14" s="12">
        <v>10</v>
      </c>
      <c r="C14" s="13" t="s">
        <v>80</v>
      </c>
      <c r="D14" s="13" t="s">
        <v>86</v>
      </c>
      <c r="E14" s="8" t="str" cm="1">
        <f t="array" ref="E14">_xlfn.IFS(LEFT(C14)="K","Keuangan",LEFT(C14)="D","Direksi",LEFT(C14)="P","Personalia",LEFT(C14)="A","Administrasi")</f>
        <v>Administrasi</v>
      </c>
      <c r="F14" s="13">
        <v>0</v>
      </c>
      <c r="G14" s="8" t="str" cm="1">
        <f t="array" ref="G14">_xlfn.IFS(MID(C14,3,1)="K","Kawin",MID(C14,3,1)="J","Janda",MID(C14,3,1)="D","Duda",MID(C14,3,1)="B","Belum")</f>
        <v>Belum</v>
      </c>
      <c r="H14" s="9">
        <f t="shared" si="1"/>
        <v>0</v>
      </c>
      <c r="I14" s="21">
        <v>295000</v>
      </c>
      <c r="J14" s="22" cm="1">
        <f t="array" ref="J14">_xlfn.IFS(E14="Direksi",350000,E14="Keuangan",150000,E14="Personalia",250000,E14="Administrasi",0)</f>
        <v>0</v>
      </c>
      <c r="K14" s="23" cm="1">
        <f t="array" ref="K14">_xlfn.IFS(H14=0,0,H14&lt;=3,5%*I14*H14,H14&gt;3,8%*I14*H14)</f>
        <v>0</v>
      </c>
      <c r="L14" s="23" cm="1">
        <f t="array" ref="L14">_xlfn.IFS(K14&lt;=30000,0,K14&gt;30000,K14*2%)</f>
        <v>0</v>
      </c>
      <c r="M14" s="24">
        <f t="shared" si="0"/>
        <v>295000</v>
      </c>
    </row>
    <row r="15" s="1" customFormat="1" spans="2:13">
      <c r="B15" s="14" t="s">
        <v>87</v>
      </c>
      <c r="C15" s="15"/>
      <c r="D15" s="15"/>
      <c r="E15" s="16"/>
      <c r="F15" s="16"/>
      <c r="G15" s="16"/>
      <c r="H15" s="16"/>
      <c r="I15" s="16"/>
      <c r="J15" s="16"/>
      <c r="K15" s="16"/>
      <c r="L15" s="16"/>
      <c r="M15" s="26">
        <f>SUM(M5:M14)</f>
        <v>4653029</v>
      </c>
    </row>
    <row r="16" s="1" customFormat="1" ht="17.75" spans="2:13">
      <c r="B16" s="17" t="s">
        <v>88</v>
      </c>
      <c r="C16" s="18"/>
      <c r="D16" s="18"/>
      <c r="E16" s="19"/>
      <c r="F16" s="19"/>
      <c r="G16" s="19"/>
      <c r="H16" s="19"/>
      <c r="I16" s="19"/>
      <c r="J16" s="19"/>
      <c r="K16" s="19"/>
      <c r="L16" s="19"/>
      <c r="M16" s="27">
        <f>AVERAGE(M5:M14)</f>
        <v>465302.9</v>
      </c>
    </row>
    <row r="18" s="1" customFormat="1" spans="2:2">
      <c r="B18" s="1" t="s">
        <v>89</v>
      </c>
    </row>
    <row r="19" s="1" customFormat="1" spans="2:2">
      <c r="B19" s="1" t="s">
        <v>90</v>
      </c>
    </row>
    <row r="20" s="1" customFormat="1" spans="3:3">
      <c r="C20" s="1" t="s">
        <v>91</v>
      </c>
    </row>
    <row r="21" s="1" customFormat="1" spans="4:4">
      <c r="D21" s="1" t="s">
        <v>92</v>
      </c>
    </row>
    <row r="22" s="1" customFormat="1" spans="4:4">
      <c r="D22" s="1" t="s">
        <v>93</v>
      </c>
    </row>
    <row r="23" s="1" customFormat="1" spans="4:4">
      <c r="D23" s="1" t="s">
        <v>94</v>
      </c>
    </row>
    <row r="24" s="1" customFormat="1" spans="4:4">
      <c r="D24" s="1" t="s">
        <v>95</v>
      </c>
    </row>
    <row r="25" s="1" customFormat="1" spans="3:3">
      <c r="C25" s="1" t="s">
        <v>96</v>
      </c>
    </row>
    <row r="26" s="1" customFormat="1" spans="4:4">
      <c r="D26" s="1" t="s">
        <v>97</v>
      </c>
    </row>
    <row r="27" s="1" customFormat="1" spans="4:4">
      <c r="D27" s="1" t="s">
        <v>98</v>
      </c>
    </row>
    <row r="28" s="1" customFormat="1" spans="4:4">
      <c r="D28" s="1" t="s">
        <v>99</v>
      </c>
    </row>
    <row r="29" s="1" customFormat="1" spans="4:4">
      <c r="D29" s="1" t="s">
        <v>100</v>
      </c>
    </row>
    <row r="30" s="1" customFormat="1" spans="3:3">
      <c r="C30" s="1" t="s">
        <v>101</v>
      </c>
    </row>
    <row r="31" s="1" customFormat="1" spans="2:2">
      <c r="B31" s="1" t="s">
        <v>102</v>
      </c>
    </row>
    <row r="32" s="1" customFormat="1" spans="3:3">
      <c r="C32" s="1" t="s">
        <v>103</v>
      </c>
    </row>
    <row r="33" s="1" customFormat="1" spans="3:3">
      <c r="C33" s="1" t="s">
        <v>104</v>
      </c>
    </row>
    <row r="34" s="1" customFormat="1" spans="3:3">
      <c r="C34" s="1" t="s">
        <v>105</v>
      </c>
    </row>
    <row r="35" s="1" customFormat="1" spans="2:2">
      <c r="B35" s="1" t="s">
        <v>106</v>
      </c>
    </row>
    <row r="36" s="1" customFormat="1" spans="3:3">
      <c r="C36" s="1" t="s">
        <v>107</v>
      </c>
    </row>
    <row r="37" s="1" customFormat="1" spans="3:3">
      <c r="C37" s="1" t="s">
        <v>108</v>
      </c>
    </row>
    <row r="38" s="1" customFormat="1" spans="2:2">
      <c r="B38" s="1" t="s">
        <v>109</v>
      </c>
    </row>
    <row r="39" s="1" customFormat="1" spans="2:2">
      <c r="B39" s="1" t="s">
        <v>110</v>
      </c>
    </row>
    <row r="40" s="1" customFormat="1" spans="2:2">
      <c r="B40" s="1" t="s">
        <v>111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Date &amp; Age Processing</vt:lpstr>
      <vt:lpstr>Personal Data Extraction </vt:lpstr>
      <vt:lpstr>Employe Code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SISIBOOK</dc:creator>
  <cp:lastModifiedBy>Bayu Ali</cp:lastModifiedBy>
  <dcterms:created xsi:type="dcterms:W3CDTF">2026-09-15T16:38:00Z</dcterms:created>
  <dcterms:modified xsi:type="dcterms:W3CDTF">2026-09-16T06:07:28Z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E3934E1BCCE4443CBCBDB9931CF5A7DB_11</vt:lpwstr>
  </property>
  <property fmtid="{D5CDD505-2E9C-101B-9397-08002B2CF9AE}" pid="3" name="KSOProductBuildVer">
    <vt:lpwstr>2057-12.2.0.23206</vt:lpwstr>
  </property>
</Properties>
</file>