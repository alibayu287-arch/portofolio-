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710"/>
  </bookViews>
  <sheets>
    <sheet name="Student Grade Lookup" sheetId="1" r:id="rId1"/>
    <sheet name="Car Rental Lookup" sheetId="2" r:id="rId2"/>
    <sheet name="Integrated Data Retrieval" sheetId="3" r:id="rId3"/>
  </sheets>
  <externalReferences>
    <externalReference r:id="rId4"/>
  </externalReferences>
  <definedNames>
    <definedName name="kolomekonomi">'[1]Studi Kasus 2 Jumat Soal 2'!$G$26:$J$28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<sst xmlns="http://schemas.openxmlformats.org/spreadsheetml/2006/main" count="187" uniqueCount="148">
  <si>
    <t>LAPORAN PENDAPATAN HOTEL</t>
  </si>
  <si>
    <t>HOTEL MADU BARU SURABAYA</t>
  </si>
  <si>
    <t>PERIODE 1 TAHUN</t>
  </si>
  <si>
    <t>NO</t>
  </si>
  <si>
    <t>Nama Tamu</t>
  </si>
  <si>
    <t>Kode Kamar</t>
  </si>
  <si>
    <t>Tanggal Cek-in</t>
  </si>
  <si>
    <t>Tanggal Cek-out</t>
  </si>
  <si>
    <t>Kelas</t>
  </si>
  <si>
    <t>Lama Menginap</t>
  </si>
  <si>
    <t>Tarif/Hari</t>
  </si>
  <si>
    <t>Biaya Menginap</t>
  </si>
  <si>
    <t>Potongan</t>
  </si>
  <si>
    <t>Pajak 10%</t>
  </si>
  <si>
    <t>Total Bayar</t>
  </si>
  <si>
    <t>Doni</t>
  </si>
  <si>
    <t>E</t>
  </si>
  <si>
    <t>TABEL KELAS &amp; TARIF</t>
  </si>
  <si>
    <t>Indria</t>
  </si>
  <si>
    <t>B</t>
  </si>
  <si>
    <t>KODE</t>
  </si>
  <si>
    <t>KELAS</t>
  </si>
  <si>
    <t>TARIF/HARI</t>
  </si>
  <si>
    <t>Santoso</t>
  </si>
  <si>
    <t>X</t>
  </si>
  <si>
    <t>EXECUTIVE</t>
  </si>
  <si>
    <t>Yulianto</t>
  </si>
  <si>
    <t xml:space="preserve"> EKONOMI</t>
  </si>
  <si>
    <t>Safira</t>
  </si>
  <si>
    <t>BISNIS</t>
  </si>
  <si>
    <t>Kumalasari</t>
  </si>
  <si>
    <t>Indah</t>
  </si>
  <si>
    <t>Andriani</t>
  </si>
  <si>
    <t>Gunawan</t>
  </si>
  <si>
    <t>Untung</t>
  </si>
  <si>
    <t>NAMA PENYEWA</t>
  </si>
  <si>
    <t>JENIS MOBIL</t>
  </si>
  <si>
    <t>TANGGAL PINJAM</t>
  </si>
  <si>
    <t xml:space="preserve"> TANGGAL KEMBALI</t>
  </si>
  <si>
    <t>LAMA SEWA</t>
  </si>
  <si>
    <t>BIAYA SEWA</t>
  </si>
  <si>
    <t>POTONGAN</t>
  </si>
  <si>
    <t>BIAYA BAYAR</t>
  </si>
  <si>
    <t>SULAIMAN</t>
  </si>
  <si>
    <t>Daihatsu Espass</t>
  </si>
  <si>
    <t>HIMO</t>
  </si>
  <si>
    <t>Suzuki Carry</t>
  </si>
  <si>
    <t>INDAH</t>
  </si>
  <si>
    <t>BMW 5201</t>
  </si>
  <si>
    <t>tarif sewa mobil</t>
  </si>
  <si>
    <t>FIRMANSYAH</t>
  </si>
  <si>
    <t>Daihatsu Charade</t>
  </si>
  <si>
    <t>kelas</t>
  </si>
  <si>
    <t>DIDIK</t>
  </si>
  <si>
    <t>Isuzu Panther</t>
  </si>
  <si>
    <t>tarif sewa / hari</t>
  </si>
  <si>
    <t>LOLITA</t>
  </si>
  <si>
    <t>Accord Prestige</t>
  </si>
  <si>
    <t>ZULAIHA</t>
  </si>
  <si>
    <t>Suzuki Forca</t>
  </si>
  <si>
    <t>ANJASMARA</t>
  </si>
  <si>
    <t>BUDIMAN</t>
  </si>
  <si>
    <t>VERONICA</t>
  </si>
  <si>
    <t>MULATNO</t>
  </si>
  <si>
    <t>KURNIAWAN</t>
  </si>
  <si>
    <t>jumlah</t>
  </si>
  <si>
    <t xml:space="preserve"> BIAYA SEWA MERUPAKAN HASIL PERKALIAN ANTARA LAMA SEWA DENGAN TARIF SEWA PERHARI PADA TABEL TARIF SEWA MOBIL. (LAMA SEWA 2 HARI)</t>
  </si>
  <si>
    <t>POTONGAN DI PEROLEH DENGAN KETENTUAN SBB:</t>
  </si>
  <si>
    <t>LAMA SEWA 0 s.d 3 HARI TIDAK MENDAPATKAN POTONGAN</t>
  </si>
  <si>
    <t>LAMA SEWA 4 s.d 5 HARI MENDAPATKAN POTONGAN 5%</t>
  </si>
  <si>
    <t>DI ATAS 5 HARI MENDAPATKAN POTONGAN 10%</t>
  </si>
  <si>
    <t>HITUNGAN BIAYA DIBAYAR YANG MERUPAKAN HASIL PENGURANGAN BIAYA SEWA &amp; POTONGAN</t>
  </si>
  <si>
    <t>HITUNG PULA JUMLAH KESELURUHAN BIAYA DIBAYAR</t>
  </si>
  <si>
    <t>SOAL 1 (POINT : 15)</t>
  </si>
  <si>
    <t>TOTAL BEASISWA</t>
  </si>
  <si>
    <t>No</t>
  </si>
  <si>
    <t>Nama</t>
  </si>
  <si>
    <t>Nim</t>
  </si>
  <si>
    <t>Jurusan</t>
  </si>
  <si>
    <t>Program</t>
  </si>
  <si>
    <t>Kode MK</t>
  </si>
  <si>
    <t>Matakuliah</t>
  </si>
  <si>
    <t>SKK</t>
  </si>
  <si>
    <t>Nilai Angka</t>
  </si>
  <si>
    <t>Nilai Huruf</t>
  </si>
  <si>
    <t>Keterangan</t>
  </si>
  <si>
    <t>Beasiswa Kuartal</t>
  </si>
  <si>
    <t>Puri Dewi Dewi</t>
  </si>
  <si>
    <t>KA01</t>
  </si>
  <si>
    <t>MO-02</t>
  </si>
  <si>
    <t>Fike Nurjannah</t>
  </si>
  <si>
    <t>KA02</t>
  </si>
  <si>
    <t>Namirah Hadrah</t>
  </si>
  <si>
    <t>TI01</t>
  </si>
  <si>
    <t>PD-03</t>
  </si>
  <si>
    <t>Giganda Saputri</t>
  </si>
  <si>
    <t>TI02</t>
  </si>
  <si>
    <t>Alif kamila kabelo</t>
  </si>
  <si>
    <t>Rudi Tabuti</t>
  </si>
  <si>
    <t>KG01</t>
  </si>
  <si>
    <t>Ilham Dari Langit</t>
  </si>
  <si>
    <t>Aries Hutang Budi Prasetya</t>
  </si>
  <si>
    <t>MA-02</t>
  </si>
  <si>
    <t>Zilfa Ashiteru</t>
  </si>
  <si>
    <t>ST-02</t>
  </si>
  <si>
    <t>Nicholas Sapulidi</t>
  </si>
  <si>
    <t>Ayu Tuing Tuing</t>
  </si>
  <si>
    <t>Jumlah Mahasiswa Teknik Informatika yang Nilainya &gt;50</t>
  </si>
  <si>
    <t>Total Nilai Angka yang dikumpulkan oleh Jurusan Komputer Aplikasi Bisnis</t>
  </si>
  <si>
    <t>Hitung Jumlah Mahasiswa yang nilainya diatas 66</t>
  </si>
  <si>
    <t>Tabel Jurusan</t>
  </si>
  <si>
    <t>Tabel Program</t>
  </si>
  <si>
    <t>Tabel Matakuliah</t>
  </si>
  <si>
    <t>Tabel Nilai Huruf</t>
  </si>
  <si>
    <t>Kode</t>
  </si>
  <si>
    <t>TI</t>
  </si>
  <si>
    <t>Teknik Informatika</t>
  </si>
  <si>
    <t>1 Tahun (Diploma 1)</t>
  </si>
  <si>
    <t>Microsoft Office</t>
  </si>
  <si>
    <t>MO</t>
  </si>
  <si>
    <t>KA</t>
  </si>
  <si>
    <t>Komputer Aplikasi Bisnis</t>
  </si>
  <si>
    <t>2 Tahun (Diploma 2)</t>
  </si>
  <si>
    <t>Pengembangan Diri</t>
  </si>
  <si>
    <t>PD</t>
  </si>
  <si>
    <t>D</t>
  </si>
  <si>
    <t>KG</t>
  </si>
  <si>
    <t>Komputer Grafis</t>
  </si>
  <si>
    <t>Mentoring Agama Islam</t>
  </si>
  <si>
    <t>MA</t>
  </si>
  <si>
    <t>C</t>
  </si>
  <si>
    <t>Speedtyping</t>
  </si>
  <si>
    <t>ST</t>
  </si>
  <si>
    <t>BC</t>
  </si>
  <si>
    <t>AB</t>
  </si>
  <si>
    <t>A</t>
  </si>
  <si>
    <t>Ketentuan Soal:</t>
  </si>
  <si>
    <t>1. Jurusan berdasarkan tabel jurusan yang sudah tersedia</t>
  </si>
  <si>
    <t>2. Program berdasarkan tabel program yang sudah tersedia</t>
  </si>
  <si>
    <t>3. Matakuliah berdasarkan tabel matakuliah yang sudah tersedia</t>
  </si>
  <si>
    <t>4. SKK diambil dari digit terakhir pada Kode MK</t>
  </si>
  <si>
    <t>5. Nilai Huruf berdasarkan tabel nilai Huruf</t>
  </si>
  <si>
    <t>6. Keterangan diisi berdasarkan kriteria berikut :</t>
  </si>
  <si>
    <t xml:space="preserve">    - Jika nilai Hurufnya E atau D maka Remidial selain itu Lulus</t>
  </si>
  <si>
    <t>7. Beasiswa Kuartal :</t>
  </si>
  <si>
    <t xml:space="preserve">   - Jika Jurusan TIF dan Nilai Angka &gt;70 maka mendapat beasiswa kuartal senilai 5% dari Total Beasiswa</t>
  </si>
  <si>
    <t xml:space="preserve">  - Jika Jurusan KAB dan Nilai Angka &gt;70 maka mendapat beasiswa kuartal senilai 3% dari Total Beasiswa</t>
  </si>
  <si>
    <t xml:space="preserve">  - Jika Jurusan KGR dan Nilai Angka &gt;70 maka mendapat beasiswa kuartal senilai 2% dari Total Beasiswa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</si>
</sst>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_-* #,##0.00_-;\-* #,##0.00_-;_-* &quot;-&quot;??_-;_-@_-"/>
    <numFmt numFmtId="181" formatCode="_-* #,##0_-;\-* #,##0_-;_-* &quot;-&quot;??_-;_-@_-"/>
    <numFmt numFmtId="182" formatCode="0\ &quot;HARI&quot;"/>
    <numFmt numFmtId="183" formatCode="_-&quot;Rp&quot;* #,##0.000_-;\-&quot;Rp&quot;* #,##0.000_-;_-&quot;Rp&quot;* &quot;-&quot;???_-;_-@"/>
    <numFmt numFmtId="184" formatCode="dd\-mmm\-yy"/>
    <numFmt numFmtId="185" formatCode="_-&quot;Rp&quot;* #,##0_-;\-&quot;Rp&quot;* #,##0_-;_-&quot;Rp&quot;* &quot;-&quot;_-;_-@"/>
  </numFmts>
  <fonts count="32">
    <font>
      <sz val="11"/>
      <color theme="1"/>
      <name val="Calibri"/>
      <charset val="134"/>
      <scheme val="minor"/>
    </font>
    <font>
      <sz val="20"/>
      <color theme="1"/>
      <name val="Arial"/>
      <charset val="134"/>
    </font>
    <font>
      <sz val="11"/>
      <color theme="1"/>
      <name val="Arial"/>
      <charset val="134"/>
    </font>
    <font>
      <b/>
      <sz val="20"/>
      <color theme="1"/>
      <name val="Arial"/>
      <charset val="134"/>
    </font>
    <font>
      <b/>
      <sz val="14"/>
      <color theme="1"/>
      <name val="Arial"/>
      <charset val="134"/>
    </font>
    <font>
      <b/>
      <sz val="11"/>
      <color theme="1"/>
      <name val="Arial"/>
      <charset val="134"/>
    </font>
    <font>
      <b/>
      <sz val="12"/>
      <color theme="1"/>
      <name val="Arial"/>
      <charset val="134"/>
    </font>
    <font>
      <sz val="11"/>
      <color theme="0"/>
      <name val="Calibri"/>
      <charset val="134"/>
    </font>
    <font>
      <sz val="11"/>
      <color theme="1"/>
      <name val="Calibri"/>
      <charset val="134"/>
    </font>
    <font>
      <sz val="11"/>
      <color rgb="FF000000"/>
      <name val="Calibri"/>
      <charset val="134"/>
    </font>
    <font>
      <sz val="11"/>
      <name val="Calibri"/>
      <charset val="134"/>
    </font>
    <font>
      <b/>
      <sz val="11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darkUp">
        <fgColor theme="4" tint="0.399945066682943"/>
      </patternFill>
    </fill>
    <fill>
      <patternFill patternType="solid">
        <fgColor rgb="FF0070C0"/>
        <bgColor rgb="FF0070C0"/>
      </patternFill>
    </fill>
    <fill>
      <patternFill patternType="solid">
        <fgColor rgb="FFF4B083"/>
        <bgColor rgb="FFF4B083"/>
      </patternFill>
    </fill>
    <fill>
      <patternFill patternType="solid">
        <fgColor rgb="FFFFC000"/>
        <bgColor rgb="FFFFC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7" borderId="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11" applyNumberFormat="0" applyAlignment="0" applyProtection="0">
      <alignment vertical="center"/>
    </xf>
    <xf numFmtId="0" fontId="21" fillId="9" borderId="12" applyNumberFormat="0" applyAlignment="0" applyProtection="0">
      <alignment vertical="center"/>
    </xf>
    <xf numFmtId="0" fontId="22" fillId="9" borderId="11" applyNumberFormat="0" applyAlignment="0" applyProtection="0">
      <alignment vertical="center"/>
    </xf>
    <xf numFmtId="0" fontId="23" fillId="10" borderId="13" applyNumberFormat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31" fillId="0" borderId="0"/>
    <xf numFmtId="180" fontId="31" fillId="0" borderId="0" applyFont="0" applyFill="0" applyBorder="0" applyAlignment="0" applyProtection="0"/>
  </cellStyleXfs>
  <cellXfs count="43">
    <xf numFmtId="0" fontId="0" fillId="0" borderId="0" xfId="0">
      <alignment vertical="center"/>
    </xf>
    <xf numFmtId="0" fontId="1" fillId="2" borderId="0" xfId="49" applyFont="1" applyFill="1"/>
    <xf numFmtId="0" fontId="2" fillId="0" borderId="0" xfId="49" applyFont="1"/>
    <xf numFmtId="0" fontId="2" fillId="0" borderId="0" xfId="49" applyFont="1" applyAlignment="1">
      <alignment horizontal="center" vertical="center"/>
    </xf>
    <xf numFmtId="0" fontId="2" fillId="0" borderId="0" xfId="49" applyFont="1" applyAlignment="1">
      <alignment vertical="center"/>
    </xf>
    <xf numFmtId="0" fontId="3" fillId="2" borderId="0" xfId="49" applyFont="1" applyFill="1"/>
    <xf numFmtId="0" fontId="4" fillId="0" borderId="0" xfId="49" applyFont="1"/>
    <xf numFmtId="0" fontId="5" fillId="2" borderId="1" xfId="49" applyFont="1" applyFill="1" applyBorder="1" applyAlignment="1">
      <alignment horizontal="center" vertical="center"/>
    </xf>
    <xf numFmtId="0" fontId="5" fillId="2" borderId="1" xfId="49" applyFont="1" applyFill="1" applyBorder="1" applyAlignment="1">
      <alignment horizontal="center" vertical="center" wrapText="1"/>
    </xf>
    <xf numFmtId="0" fontId="2" fillId="0" borderId="1" xfId="49" applyFont="1" applyBorder="1" applyAlignment="1">
      <alignment horizontal="center" vertical="center"/>
    </xf>
    <xf numFmtId="0" fontId="2" fillId="0" borderId="1" xfId="49" applyFont="1" applyBorder="1" applyAlignment="1">
      <alignment vertical="center"/>
    </xf>
    <xf numFmtId="0" fontId="5" fillId="0" borderId="0" xfId="49" applyFont="1"/>
    <xf numFmtId="0" fontId="2" fillId="0" borderId="1" xfId="49" applyFont="1" applyBorder="1"/>
    <xf numFmtId="0" fontId="2" fillId="0" borderId="1" xfId="49" applyFont="1" applyBorder="1" applyAlignment="1">
      <alignment horizontal="center"/>
    </xf>
    <xf numFmtId="0" fontId="2" fillId="0" borderId="0" xfId="49" applyFont="1" applyAlignment="1">
      <alignment horizontal="center"/>
    </xf>
    <xf numFmtId="0" fontId="6" fillId="0" borderId="0" xfId="49" applyFont="1"/>
    <xf numFmtId="181" fontId="5" fillId="0" borderId="0" xfId="50" applyNumberFormat="1" applyFont="1"/>
    <xf numFmtId="0" fontId="2" fillId="3" borderId="1" xfId="49" applyFont="1" applyFill="1" applyBorder="1" applyAlignment="1">
      <alignment horizontal="center" vertical="center"/>
    </xf>
    <xf numFmtId="0" fontId="0" fillId="0" borderId="0" xfId="0" applyFont="1" applyFill="1" applyAlignment="1"/>
    <xf numFmtId="0" fontId="7" fillId="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/>
    <xf numFmtId="58" fontId="8" fillId="0" borderId="2" xfId="0" applyNumberFormat="1" applyFont="1" applyFill="1" applyBorder="1" applyAlignment="1">
      <alignment horizontal="center"/>
    </xf>
    <xf numFmtId="58" fontId="9" fillId="0" borderId="2" xfId="0" applyNumberFormat="1" applyFont="1" applyFill="1" applyBorder="1" applyAlignment="1">
      <alignment horizontal="center"/>
    </xf>
    <xf numFmtId="182" fontId="8" fillId="0" borderId="2" xfId="0" applyNumberFormat="1" applyFont="1" applyFill="1" applyBorder="1" applyAlignment="1">
      <alignment horizontal="center"/>
    </xf>
    <xf numFmtId="183" fontId="8" fillId="0" borderId="2" xfId="0" applyNumberFormat="1" applyFont="1" applyFill="1" applyBorder="1" applyAlignment="1"/>
    <xf numFmtId="58" fontId="9" fillId="0" borderId="3" xfId="0" applyNumberFormat="1" applyFont="1" applyFill="1" applyBorder="1" applyAlignment="1">
      <alignment horizontal="center"/>
    </xf>
    <xf numFmtId="0" fontId="8" fillId="0" borderId="4" xfId="0" applyFont="1" applyFill="1" applyBorder="1" applyAlignment="1"/>
    <xf numFmtId="0" fontId="8" fillId="0" borderId="5" xfId="0" applyFont="1" applyFill="1" applyBorder="1" applyAlignment="1">
      <alignment horizontal="center"/>
    </xf>
    <xf numFmtId="0" fontId="10" fillId="0" borderId="6" xfId="0" applyFont="1" applyFill="1" applyBorder="1" applyAlignment="1"/>
    <xf numFmtId="20" fontId="8" fillId="0" borderId="0" xfId="0" applyNumberFormat="1" applyFont="1" applyFill="1" applyAlignment="1"/>
    <xf numFmtId="0" fontId="8" fillId="0" borderId="5" xfId="0" applyFont="1" applyFill="1" applyBorder="1" applyAlignment="1">
      <alignment horizontal="center" vertical="center"/>
    </xf>
    <xf numFmtId="0" fontId="10" fillId="0" borderId="7" xfId="0" applyFont="1" applyFill="1" applyBorder="1" applyAlignment="1"/>
    <xf numFmtId="0" fontId="11" fillId="0" borderId="0" xfId="0" applyFont="1" applyFill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left" vertical="center"/>
    </xf>
    <xf numFmtId="184" fontId="8" fillId="0" borderId="2" xfId="0" applyNumberFormat="1" applyFont="1" applyFill="1" applyBorder="1" applyAlignment="1">
      <alignment horizontal="center" vertical="center"/>
    </xf>
    <xf numFmtId="184" fontId="9" fillId="0" borderId="2" xfId="0" applyNumberFormat="1" applyFont="1" applyFill="1" applyBorder="1" applyAlignment="1">
      <alignment horizontal="center" vertical="center"/>
    </xf>
    <xf numFmtId="185" fontId="8" fillId="0" borderId="2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3" xfId="49"/>
    <cellStyle name="Comma 2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tudi%20Kasus%202%20Juma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tudi Kasus 2 Jumat Soal 1"/>
      <sheetName val="Studi Kasus 2 Jumat Soal 2"/>
      <sheetName val="Studi Kasus 2 Jumat Soal 3.a"/>
      <sheetName val="Studi Kasus 2 Jumat Soal 4"/>
      <sheetName val="Soal 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00"/>
  <sheetViews>
    <sheetView tabSelected="1" zoomScale="76" zoomScaleNormal="76" workbookViewId="0">
      <selection activeCell="F6" sqref="F6"/>
    </sheetView>
  </sheetViews>
  <sheetFormatPr defaultColWidth="14.4545454545455" defaultRowHeight="15" customHeight="1"/>
  <cols>
    <col min="1" max="1" width="3.81818181818182" style="18" customWidth="1"/>
    <col min="2" max="2" width="11.4545454545455" style="18" customWidth="1"/>
    <col min="3" max="3" width="11.2727272727273" style="18" customWidth="1"/>
    <col min="4" max="4" width="13.8181818181818" style="18" customWidth="1"/>
    <col min="5" max="5" width="12.5454545454545" style="18" customWidth="1"/>
    <col min="6" max="6" width="12.2727272727273" style="18" customWidth="1"/>
    <col min="7" max="7" width="13.4545454545455" style="18" customWidth="1"/>
    <col min="8" max="8" width="14.0909090909091" style="18" customWidth="1"/>
    <col min="9" max="9" width="13.5454545454545" style="18" customWidth="1"/>
    <col min="10" max="10" width="13.2727272727273" style="18" customWidth="1"/>
    <col min="11" max="11" width="14.7272727272727" style="18" customWidth="1"/>
    <col min="12" max="12" width="16.8181818181818" style="18" customWidth="1"/>
    <col min="13" max="14" width="8.72727272727273" style="18" customWidth="1"/>
    <col min="15" max="15" width="10.7272727272727" style="18" customWidth="1"/>
    <col min="16" max="16" width="14.8181818181818" style="18" customWidth="1"/>
    <col min="17" max="26" width="8.72727272727273" style="18" customWidth="1"/>
    <col min="27" max="16384" width="14.4545454545455" style="18"/>
  </cols>
  <sheetData>
    <row r="1" s="18" customFormat="1" ht="14.5" spans="4:6">
      <c r="D1" s="33"/>
      <c r="E1" s="33" t="s">
        <v>0</v>
      </c>
      <c r="F1" s="33"/>
    </row>
    <row r="2" s="18" customFormat="1" ht="14.5" spans="4:6">
      <c r="D2" s="33"/>
      <c r="E2" s="33" t="s">
        <v>1</v>
      </c>
      <c r="F2" s="33"/>
    </row>
    <row r="3" s="18" customFormat="1" ht="14.5" spans="4:6">
      <c r="D3" s="33"/>
      <c r="E3" s="33" t="s">
        <v>2</v>
      </c>
      <c r="F3" s="33"/>
    </row>
    <row r="4" s="18" customFormat="1" ht="29" spans="1:12">
      <c r="A4" s="34" t="s">
        <v>3</v>
      </c>
      <c r="B4" s="34" t="s">
        <v>4</v>
      </c>
      <c r="C4" s="34" t="s">
        <v>5</v>
      </c>
      <c r="D4" s="35" t="s">
        <v>6</v>
      </c>
      <c r="E4" s="35" t="s">
        <v>7</v>
      </c>
      <c r="F4" s="34" t="s">
        <v>8</v>
      </c>
      <c r="G4" s="35" t="s">
        <v>9</v>
      </c>
      <c r="H4" s="35" t="s">
        <v>10</v>
      </c>
      <c r="I4" s="35" t="s">
        <v>11</v>
      </c>
      <c r="J4" s="34" t="s">
        <v>12</v>
      </c>
      <c r="K4" s="34" t="s">
        <v>13</v>
      </c>
      <c r="L4" s="34" t="s">
        <v>14</v>
      </c>
    </row>
    <row r="5" s="18" customFormat="1" ht="14.5" spans="1:16">
      <c r="A5" s="36">
        <v>1</v>
      </c>
      <c r="B5" s="37" t="s">
        <v>15</v>
      </c>
      <c r="C5" s="36" t="s">
        <v>16</v>
      </c>
      <c r="D5" s="38">
        <v>37257</v>
      </c>
      <c r="E5" s="39">
        <v>37261</v>
      </c>
      <c r="F5" s="36" t="str">
        <f>VLOOKUP(C5,$N$7:$O$9,2,FALSE)</f>
        <v> EKONOMI</v>
      </c>
      <c r="G5" s="36">
        <f t="shared" ref="G5:G14" si="0">DATEDIF(D5,E5,"D")</f>
        <v>4</v>
      </c>
      <c r="H5" s="40">
        <f t="shared" ref="H5:H14" si="1">VLOOKUP(C5,$N$6:$P$9,3,FALSE)</f>
        <v>100000</v>
      </c>
      <c r="I5" s="40">
        <f t="shared" ref="I5:I14" si="2">H5*G5</f>
        <v>400000</v>
      </c>
      <c r="J5" s="40">
        <f t="shared" ref="J5:J14" si="3">IF(G5&gt;6,5%*(G5*H5),0)</f>
        <v>0</v>
      </c>
      <c r="K5" s="40">
        <f t="shared" ref="K5:K14" si="4">I5*10%</f>
        <v>40000</v>
      </c>
      <c r="L5" s="40">
        <f t="shared" ref="L5:L14" si="5">I5-J5+K5</f>
        <v>440000</v>
      </c>
      <c r="N5" s="42" t="s">
        <v>17</v>
      </c>
      <c r="O5" s="29"/>
      <c r="P5" s="32"/>
    </row>
    <row r="6" s="18" customFormat="1" ht="14.5" spans="1:16">
      <c r="A6" s="36">
        <v>2</v>
      </c>
      <c r="B6" s="37" t="s">
        <v>18</v>
      </c>
      <c r="C6" s="36" t="s">
        <v>19</v>
      </c>
      <c r="D6" s="38">
        <v>37259</v>
      </c>
      <c r="E6" s="39">
        <v>37260</v>
      </c>
      <c r="F6" s="36" t="str">
        <f t="shared" ref="F5:F14" si="6">VLOOKUP(C6,$N$7:$O$9,2,FALSE)</f>
        <v>BISNIS</v>
      </c>
      <c r="G6" s="36">
        <f t="shared" si="0"/>
        <v>1</v>
      </c>
      <c r="H6" s="40">
        <f t="shared" si="1"/>
        <v>200000</v>
      </c>
      <c r="I6" s="40">
        <f t="shared" si="2"/>
        <v>200000</v>
      </c>
      <c r="J6" s="40">
        <f t="shared" si="3"/>
        <v>0</v>
      </c>
      <c r="K6" s="40">
        <f t="shared" si="4"/>
        <v>20000</v>
      </c>
      <c r="L6" s="40">
        <f t="shared" si="5"/>
        <v>220000</v>
      </c>
      <c r="N6" s="36" t="s">
        <v>20</v>
      </c>
      <c r="O6" s="36" t="s">
        <v>21</v>
      </c>
      <c r="P6" s="36" t="s">
        <v>22</v>
      </c>
    </row>
    <row r="7" s="18" customFormat="1" ht="14.5" spans="1:16">
      <c r="A7" s="36">
        <v>3</v>
      </c>
      <c r="B7" s="37" t="s">
        <v>23</v>
      </c>
      <c r="C7" s="36" t="s">
        <v>24</v>
      </c>
      <c r="D7" s="38">
        <v>37260</v>
      </c>
      <c r="E7" s="39">
        <v>37265</v>
      </c>
      <c r="F7" s="36" t="str">
        <f t="shared" si="6"/>
        <v>EXECUTIVE</v>
      </c>
      <c r="G7" s="36">
        <f t="shared" si="0"/>
        <v>5</v>
      </c>
      <c r="H7" s="40">
        <f t="shared" si="1"/>
        <v>300000</v>
      </c>
      <c r="I7" s="40">
        <f t="shared" si="2"/>
        <v>1500000</v>
      </c>
      <c r="J7" s="40">
        <f t="shared" si="3"/>
        <v>0</v>
      </c>
      <c r="K7" s="40">
        <f t="shared" si="4"/>
        <v>150000</v>
      </c>
      <c r="L7" s="40">
        <f t="shared" si="5"/>
        <v>1650000</v>
      </c>
      <c r="N7" s="36" t="s">
        <v>24</v>
      </c>
      <c r="O7" s="36" t="s">
        <v>25</v>
      </c>
      <c r="P7" s="40">
        <v>300000</v>
      </c>
    </row>
    <row r="8" s="18" customFormat="1" ht="14.5" spans="1:16">
      <c r="A8" s="36">
        <v>4</v>
      </c>
      <c r="B8" s="37" t="s">
        <v>26</v>
      </c>
      <c r="C8" s="36" t="s">
        <v>16</v>
      </c>
      <c r="D8" s="38">
        <v>37292</v>
      </c>
      <c r="E8" s="39">
        <v>37295</v>
      </c>
      <c r="F8" s="36" t="str">
        <f t="shared" si="6"/>
        <v> EKONOMI</v>
      </c>
      <c r="G8" s="36">
        <f t="shared" si="0"/>
        <v>3</v>
      </c>
      <c r="H8" s="40">
        <f t="shared" si="1"/>
        <v>100000</v>
      </c>
      <c r="I8" s="40">
        <f t="shared" si="2"/>
        <v>300000</v>
      </c>
      <c r="J8" s="40">
        <f t="shared" si="3"/>
        <v>0</v>
      </c>
      <c r="K8" s="40">
        <f t="shared" si="4"/>
        <v>30000</v>
      </c>
      <c r="L8" s="40">
        <f t="shared" si="5"/>
        <v>330000</v>
      </c>
      <c r="N8" s="36" t="s">
        <v>16</v>
      </c>
      <c r="O8" s="36" t="s">
        <v>27</v>
      </c>
      <c r="P8" s="40">
        <v>100000</v>
      </c>
    </row>
    <row r="9" s="18" customFormat="1" ht="14.5" spans="1:16">
      <c r="A9" s="36">
        <v>5</v>
      </c>
      <c r="B9" s="37" t="s">
        <v>28</v>
      </c>
      <c r="C9" s="36" t="s">
        <v>24</v>
      </c>
      <c r="D9" s="38">
        <v>37320</v>
      </c>
      <c r="E9" s="39">
        <v>37326</v>
      </c>
      <c r="F9" s="36" t="str">
        <f t="shared" si="6"/>
        <v>EXECUTIVE</v>
      </c>
      <c r="G9" s="36">
        <f t="shared" si="0"/>
        <v>6</v>
      </c>
      <c r="H9" s="40">
        <f t="shared" si="1"/>
        <v>300000</v>
      </c>
      <c r="I9" s="40">
        <f t="shared" si="2"/>
        <v>1800000</v>
      </c>
      <c r="J9" s="40">
        <f t="shared" si="3"/>
        <v>0</v>
      </c>
      <c r="K9" s="40">
        <f t="shared" si="4"/>
        <v>180000</v>
      </c>
      <c r="L9" s="40">
        <f t="shared" si="5"/>
        <v>1980000</v>
      </c>
      <c r="N9" s="36" t="s">
        <v>19</v>
      </c>
      <c r="O9" s="36" t="s">
        <v>29</v>
      </c>
      <c r="P9" s="40">
        <v>200000</v>
      </c>
    </row>
    <row r="10" s="18" customFormat="1" ht="14.5" spans="1:12">
      <c r="A10" s="36">
        <v>6</v>
      </c>
      <c r="B10" s="37" t="s">
        <v>30</v>
      </c>
      <c r="C10" s="36" t="s">
        <v>19</v>
      </c>
      <c r="D10" s="38">
        <v>37419</v>
      </c>
      <c r="E10" s="39">
        <v>37420</v>
      </c>
      <c r="F10" s="36" t="str">
        <f t="shared" si="6"/>
        <v>BISNIS</v>
      </c>
      <c r="G10" s="36">
        <f t="shared" si="0"/>
        <v>1</v>
      </c>
      <c r="H10" s="40">
        <f t="shared" si="1"/>
        <v>200000</v>
      </c>
      <c r="I10" s="40">
        <f t="shared" si="2"/>
        <v>200000</v>
      </c>
      <c r="J10" s="40">
        <f t="shared" si="3"/>
        <v>0</v>
      </c>
      <c r="K10" s="40">
        <f t="shared" si="4"/>
        <v>20000</v>
      </c>
      <c r="L10" s="40">
        <f t="shared" si="5"/>
        <v>220000</v>
      </c>
    </row>
    <row r="11" s="18" customFormat="1" ht="14.5" spans="1:12">
      <c r="A11" s="36">
        <v>7</v>
      </c>
      <c r="B11" s="37" t="s">
        <v>31</v>
      </c>
      <c r="C11" s="36" t="s">
        <v>24</v>
      </c>
      <c r="D11" s="38">
        <v>37376</v>
      </c>
      <c r="E11" s="39">
        <v>37378</v>
      </c>
      <c r="F11" s="36" t="str">
        <f t="shared" si="6"/>
        <v>EXECUTIVE</v>
      </c>
      <c r="G11" s="36">
        <f t="shared" si="0"/>
        <v>2</v>
      </c>
      <c r="H11" s="40">
        <f t="shared" si="1"/>
        <v>300000</v>
      </c>
      <c r="I11" s="40">
        <f t="shared" si="2"/>
        <v>600000</v>
      </c>
      <c r="J11" s="40">
        <f t="shared" si="3"/>
        <v>0</v>
      </c>
      <c r="K11" s="40">
        <f t="shared" si="4"/>
        <v>60000</v>
      </c>
      <c r="L11" s="40">
        <f t="shared" si="5"/>
        <v>660000</v>
      </c>
    </row>
    <row r="12" s="18" customFormat="1" ht="14.5" spans="1:12">
      <c r="A12" s="36">
        <v>8</v>
      </c>
      <c r="B12" s="37" t="s">
        <v>32</v>
      </c>
      <c r="C12" s="36" t="s">
        <v>16</v>
      </c>
      <c r="D12" s="38">
        <v>37419</v>
      </c>
      <c r="E12" s="39">
        <v>37426</v>
      </c>
      <c r="F12" s="36" t="str">
        <f t="shared" si="6"/>
        <v> EKONOMI</v>
      </c>
      <c r="G12" s="36">
        <f t="shared" si="0"/>
        <v>7</v>
      </c>
      <c r="H12" s="40">
        <f t="shared" si="1"/>
        <v>100000</v>
      </c>
      <c r="I12" s="40">
        <f t="shared" si="2"/>
        <v>700000</v>
      </c>
      <c r="J12" s="40">
        <f t="shared" si="3"/>
        <v>35000</v>
      </c>
      <c r="K12" s="40">
        <f t="shared" si="4"/>
        <v>70000</v>
      </c>
      <c r="L12" s="40">
        <f t="shared" si="5"/>
        <v>735000</v>
      </c>
    </row>
    <row r="13" s="18" customFormat="1" ht="14.5" spans="1:12">
      <c r="A13" s="36">
        <v>9</v>
      </c>
      <c r="B13" s="37" t="s">
        <v>33</v>
      </c>
      <c r="C13" s="36" t="s">
        <v>16</v>
      </c>
      <c r="D13" s="38">
        <v>37425</v>
      </c>
      <c r="E13" s="39">
        <v>37430</v>
      </c>
      <c r="F13" s="36" t="str">
        <f t="shared" si="6"/>
        <v> EKONOMI</v>
      </c>
      <c r="G13" s="36">
        <f t="shared" si="0"/>
        <v>5</v>
      </c>
      <c r="H13" s="40">
        <f t="shared" si="1"/>
        <v>100000</v>
      </c>
      <c r="I13" s="40">
        <f t="shared" si="2"/>
        <v>500000</v>
      </c>
      <c r="J13" s="40">
        <f t="shared" si="3"/>
        <v>0</v>
      </c>
      <c r="K13" s="40">
        <f t="shared" si="4"/>
        <v>50000</v>
      </c>
      <c r="L13" s="40">
        <f t="shared" si="5"/>
        <v>550000</v>
      </c>
    </row>
    <row r="14" s="18" customFormat="1" ht="14.5" spans="1:12">
      <c r="A14" s="36">
        <v>10</v>
      </c>
      <c r="B14" s="37" t="s">
        <v>34</v>
      </c>
      <c r="C14" s="36" t="s">
        <v>19</v>
      </c>
      <c r="D14" s="38">
        <v>37427</v>
      </c>
      <c r="E14" s="39">
        <v>37430</v>
      </c>
      <c r="F14" s="36" t="str">
        <f t="shared" si="6"/>
        <v>BISNIS</v>
      </c>
      <c r="G14" s="36">
        <f t="shared" si="0"/>
        <v>3</v>
      </c>
      <c r="H14" s="40">
        <f t="shared" si="1"/>
        <v>200000</v>
      </c>
      <c r="I14" s="40">
        <f t="shared" si="2"/>
        <v>600000</v>
      </c>
      <c r="J14" s="40">
        <f t="shared" si="3"/>
        <v>0</v>
      </c>
      <c r="K14" s="40">
        <f t="shared" si="4"/>
        <v>60000</v>
      </c>
      <c r="L14" s="40">
        <f t="shared" si="5"/>
        <v>660000</v>
      </c>
    </row>
    <row r="15" s="18" customFormat="1" ht="14.5" spans="1:12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</row>
    <row r="21" s="18" customFormat="1" ht="15.75" customHeight="1"/>
    <row r="22" s="18" customFormat="1" ht="15.75" customHeight="1"/>
    <row r="23" s="18" customFormat="1" ht="15.75" customHeight="1"/>
    <row r="24" s="18" customFormat="1" ht="15.75" customHeight="1"/>
    <row r="25" s="18" customFormat="1" ht="15.75" customHeight="1"/>
    <row r="26" s="18" customFormat="1" ht="15.75" customHeight="1"/>
    <row r="27" s="18" customFormat="1" ht="15.75" customHeight="1"/>
    <row r="28" s="18" customFormat="1" ht="15.75" customHeight="1"/>
    <row r="29" s="18" customFormat="1" ht="15.75" customHeight="1"/>
    <row r="30" s="18" customFormat="1" ht="15.75" customHeight="1"/>
    <row r="31" s="18" customFormat="1" ht="15.75" customHeight="1"/>
    <row r="32" s="18" customFormat="1" ht="15.75" customHeight="1"/>
    <row r="33" s="18" customFormat="1" ht="15.75" customHeight="1"/>
    <row r="34" s="18" customFormat="1" ht="15.75" customHeight="1"/>
    <row r="35" s="18" customFormat="1" ht="15.75" customHeight="1"/>
    <row r="36" s="18" customFormat="1" ht="15.75" customHeight="1"/>
    <row r="37" s="18" customFormat="1" ht="15.75" customHeight="1"/>
    <row r="38" s="18" customFormat="1" ht="15.75" customHeight="1"/>
    <row r="39" s="18" customFormat="1" ht="15.75" customHeight="1"/>
    <row r="40" s="18" customFormat="1" ht="15.75" customHeight="1"/>
    <row r="41" s="18" customFormat="1" ht="15.75" customHeight="1"/>
    <row r="42" s="18" customFormat="1" ht="15.75" customHeight="1"/>
    <row r="43" s="18" customFormat="1" ht="15.75" customHeight="1"/>
    <row r="44" s="18" customFormat="1" ht="15.75" customHeight="1"/>
    <row r="45" s="18" customFormat="1" ht="15.75" customHeight="1"/>
    <row r="46" s="18" customFormat="1" ht="15.75" customHeight="1"/>
    <row r="47" s="18" customFormat="1" ht="15.75" customHeight="1"/>
    <row r="48" s="18" customFormat="1" ht="15.75" customHeight="1"/>
    <row r="49" s="18" customFormat="1" ht="15.75" customHeight="1"/>
    <row r="50" s="18" customFormat="1" ht="15.75" customHeight="1"/>
    <row r="51" s="18" customFormat="1" ht="15.75" customHeight="1"/>
    <row r="52" s="18" customFormat="1" ht="15.75" customHeight="1"/>
    <row r="53" s="18" customFormat="1" ht="15.75" customHeight="1"/>
    <row r="54" s="18" customFormat="1" ht="15.75" customHeight="1"/>
    <row r="55" s="18" customFormat="1" ht="15.75" customHeight="1"/>
    <row r="56" s="18" customFormat="1" ht="15.75" customHeight="1"/>
    <row r="57" s="18" customFormat="1" ht="15.75" customHeight="1"/>
    <row r="58" s="18" customFormat="1" ht="15.75" customHeight="1"/>
    <row r="59" s="18" customFormat="1" ht="15.75" customHeight="1"/>
    <row r="60" s="18" customFormat="1" ht="15.75" customHeight="1"/>
    <row r="61" s="18" customFormat="1" ht="15.75" customHeight="1"/>
    <row r="62" s="18" customFormat="1" ht="15.75" customHeight="1"/>
    <row r="63" s="18" customFormat="1" ht="15.75" customHeight="1"/>
    <row r="64" s="18" customFormat="1" ht="15.75" customHeight="1"/>
    <row r="65" s="18" customFormat="1" ht="15.75" customHeight="1"/>
    <row r="66" s="18" customFormat="1" ht="15.75" customHeight="1"/>
    <row r="67" s="18" customFormat="1" ht="15.75" customHeight="1"/>
    <row r="68" s="18" customFormat="1" ht="15.75" customHeight="1"/>
    <row r="69" s="18" customFormat="1" ht="15.75" customHeight="1"/>
    <row r="70" s="18" customFormat="1" ht="15.75" customHeight="1"/>
    <row r="71" s="18" customFormat="1" ht="15.75" customHeight="1"/>
    <row r="72" s="18" customFormat="1" ht="15.75" customHeight="1"/>
    <row r="73" s="18" customFormat="1" ht="15.75" customHeight="1"/>
    <row r="74" s="18" customFormat="1" ht="15.75" customHeight="1"/>
    <row r="75" s="18" customFormat="1" ht="15.75" customHeight="1"/>
    <row r="76" s="18" customFormat="1" ht="15.75" customHeight="1"/>
    <row r="77" s="18" customFormat="1" ht="15.75" customHeight="1"/>
    <row r="78" s="18" customFormat="1" ht="15.75" customHeight="1"/>
    <row r="79" s="18" customFormat="1" ht="15.75" customHeight="1"/>
    <row r="80" s="18" customFormat="1" ht="15.75" customHeight="1"/>
    <row r="81" s="18" customFormat="1" ht="15.75" customHeight="1"/>
    <row r="82" s="18" customFormat="1" ht="15.75" customHeight="1"/>
    <row r="83" s="18" customFormat="1" ht="15.75" customHeight="1"/>
    <row r="84" s="18" customFormat="1" ht="15.75" customHeight="1"/>
    <row r="85" s="18" customFormat="1" ht="15.75" customHeight="1"/>
    <row r="86" s="18" customFormat="1" ht="15.75" customHeight="1"/>
    <row r="87" s="18" customFormat="1" ht="15.75" customHeight="1"/>
    <row r="88" s="18" customFormat="1" ht="15.75" customHeight="1"/>
    <row r="89" s="18" customFormat="1" ht="15.75" customHeight="1"/>
    <row r="90" s="18" customFormat="1" ht="15.75" customHeight="1"/>
    <row r="91" s="18" customFormat="1" ht="15.75" customHeight="1"/>
    <row r="92" s="18" customFormat="1" ht="15.75" customHeight="1"/>
    <row r="93" s="18" customFormat="1" ht="15.75" customHeight="1"/>
    <row r="94" s="18" customFormat="1" ht="15.75" customHeight="1"/>
    <row r="95" s="18" customFormat="1" ht="15.75" customHeight="1"/>
    <row r="96" s="18" customFormat="1" ht="15.75" customHeight="1"/>
    <row r="97" s="18" customFormat="1" ht="15.75" customHeight="1"/>
    <row r="98" s="18" customFormat="1" ht="15.75" customHeight="1"/>
    <row r="99" s="18" customFormat="1" ht="15.75" customHeight="1"/>
    <row r="100" s="18" customFormat="1" ht="15.75" customHeight="1"/>
    <row r="101" s="18" customFormat="1" ht="15.75" customHeight="1"/>
    <row r="102" s="18" customFormat="1" ht="15.75" customHeight="1"/>
    <row r="103" s="18" customFormat="1" ht="15.75" customHeight="1"/>
    <row r="104" s="18" customFormat="1" ht="15.75" customHeight="1"/>
    <row r="105" s="18" customFormat="1" ht="15.75" customHeight="1"/>
    <row r="106" s="18" customFormat="1" ht="15.75" customHeight="1"/>
    <row r="107" s="18" customFormat="1" ht="15.75" customHeight="1"/>
    <row r="108" s="18" customFormat="1" ht="15.75" customHeight="1"/>
    <row r="109" s="18" customFormat="1" ht="15.75" customHeight="1"/>
    <row r="110" s="18" customFormat="1" ht="15.75" customHeight="1"/>
    <row r="111" s="18" customFormat="1" ht="15.75" customHeight="1"/>
    <row r="112" s="18" customFormat="1" ht="15.75" customHeight="1"/>
    <row r="113" s="18" customFormat="1" ht="15.75" customHeight="1"/>
    <row r="114" s="18" customFormat="1" ht="15.75" customHeight="1"/>
    <row r="115" s="18" customFormat="1" ht="15.75" customHeight="1"/>
    <row r="116" s="18" customFormat="1" ht="15.75" customHeight="1"/>
    <row r="117" s="18" customFormat="1" ht="15.75" customHeight="1"/>
    <row r="118" s="18" customFormat="1" ht="15.75" customHeight="1"/>
    <row r="119" s="18" customFormat="1" ht="15.75" customHeight="1"/>
    <row r="120" s="18" customFormat="1" ht="15.75" customHeight="1"/>
    <row r="121" s="18" customFormat="1" ht="15.75" customHeight="1"/>
    <row r="122" s="18" customFormat="1" ht="15.75" customHeight="1"/>
    <row r="123" s="18" customFormat="1" ht="15.75" customHeight="1"/>
    <row r="124" s="18" customFormat="1" ht="15.75" customHeight="1"/>
    <row r="125" s="18" customFormat="1" ht="15.75" customHeight="1"/>
    <row r="126" s="18" customFormat="1" ht="15.75" customHeight="1"/>
    <row r="127" s="18" customFormat="1" ht="15.75" customHeight="1"/>
    <row r="128" s="18" customFormat="1" ht="15.75" customHeight="1"/>
    <row r="129" s="18" customFormat="1" ht="15.75" customHeight="1"/>
    <row r="130" s="18" customFormat="1" ht="15.75" customHeight="1"/>
    <row r="131" s="18" customFormat="1" ht="15.75" customHeight="1"/>
    <row r="132" s="18" customFormat="1" ht="15.75" customHeight="1"/>
    <row r="133" s="18" customFormat="1" ht="15.75" customHeight="1"/>
    <row r="134" s="18" customFormat="1" ht="15.75" customHeight="1"/>
    <row r="135" s="18" customFormat="1" ht="15.75" customHeight="1"/>
    <row r="136" s="18" customFormat="1" ht="15.75" customHeight="1"/>
    <row r="137" s="18" customFormat="1" ht="15.75" customHeight="1"/>
    <row r="138" s="18" customFormat="1" ht="15.75" customHeight="1"/>
    <row r="139" s="18" customFormat="1" ht="15.75" customHeight="1"/>
    <row r="140" s="18" customFormat="1" ht="15.75" customHeight="1"/>
    <row r="141" s="18" customFormat="1" ht="15.75" customHeight="1"/>
    <row r="142" s="18" customFormat="1" ht="15.75" customHeight="1"/>
    <row r="143" s="18" customFormat="1" ht="15.75" customHeight="1"/>
    <row r="144" s="18" customFormat="1" ht="15.75" customHeight="1"/>
    <row r="145" s="18" customFormat="1" ht="15.75" customHeight="1"/>
    <row r="146" s="18" customFormat="1" ht="15.75" customHeight="1"/>
    <row r="147" s="18" customFormat="1" ht="15.75" customHeight="1"/>
    <row r="148" s="18" customFormat="1" ht="15.75" customHeight="1"/>
    <row r="149" s="18" customFormat="1" ht="15.75" customHeight="1"/>
    <row r="150" s="18" customFormat="1" ht="15.75" customHeight="1"/>
    <row r="151" s="18" customFormat="1" ht="15.75" customHeight="1"/>
    <row r="152" s="18" customFormat="1" ht="15.75" customHeight="1"/>
    <row r="153" s="18" customFormat="1" ht="15.75" customHeight="1"/>
    <row r="154" s="18" customFormat="1" ht="15.75" customHeight="1"/>
    <row r="155" s="18" customFormat="1" ht="15.75" customHeight="1"/>
    <row r="156" s="18" customFormat="1" ht="15.75" customHeight="1"/>
    <row r="157" s="18" customFormat="1" ht="15.75" customHeight="1"/>
    <row r="158" s="18" customFormat="1" ht="15.75" customHeight="1"/>
    <row r="159" s="18" customFormat="1" ht="15.75" customHeight="1"/>
    <row r="160" s="18" customFormat="1" ht="15.75" customHeight="1"/>
    <row r="161" s="18" customFormat="1" ht="15.75" customHeight="1"/>
    <row r="162" s="18" customFormat="1" ht="15.75" customHeight="1"/>
    <row r="163" s="18" customFormat="1" ht="15.75" customHeight="1"/>
    <row r="164" s="18" customFormat="1" ht="15.75" customHeight="1"/>
    <row r="165" s="18" customFormat="1" ht="15.75" customHeight="1"/>
    <row r="166" s="18" customFormat="1" ht="15.75" customHeight="1"/>
    <row r="167" s="18" customFormat="1" ht="15.75" customHeight="1"/>
    <row r="168" s="18" customFormat="1" ht="15.75" customHeight="1"/>
    <row r="169" s="18" customFormat="1" ht="15.75" customHeight="1"/>
    <row r="170" s="18" customFormat="1" ht="15.75" customHeight="1"/>
    <row r="171" s="18" customFormat="1" ht="15.75" customHeight="1"/>
    <row r="172" s="18" customFormat="1" ht="15.75" customHeight="1"/>
    <row r="173" s="18" customFormat="1" ht="15.75" customHeight="1"/>
    <row r="174" s="18" customFormat="1" ht="15.75" customHeight="1"/>
    <row r="175" s="18" customFormat="1" ht="15.75" customHeight="1"/>
    <row r="176" s="18" customFormat="1" ht="15.75" customHeight="1"/>
    <row r="177" s="18" customFormat="1" ht="15.75" customHeight="1"/>
    <row r="178" s="18" customFormat="1" ht="15.75" customHeight="1"/>
    <row r="179" s="18" customFormat="1" ht="15.75" customHeight="1"/>
    <row r="180" s="18" customFormat="1" ht="15.75" customHeight="1"/>
    <row r="181" s="18" customFormat="1" ht="15.75" customHeight="1"/>
    <row r="182" s="18" customFormat="1" ht="15.75" customHeight="1"/>
    <row r="183" s="18" customFormat="1" ht="15.75" customHeight="1"/>
    <row r="184" s="18" customFormat="1" ht="15.75" customHeight="1"/>
    <row r="185" s="18" customFormat="1" ht="15.75" customHeight="1"/>
    <row r="186" s="18" customFormat="1" ht="15.75" customHeight="1"/>
    <row r="187" s="18" customFormat="1" ht="15.75" customHeight="1"/>
    <row r="188" s="18" customFormat="1" ht="15.75" customHeight="1"/>
    <row r="189" s="18" customFormat="1" ht="15.75" customHeight="1"/>
    <row r="190" s="18" customFormat="1" ht="15.75" customHeight="1"/>
    <row r="191" s="18" customFormat="1" ht="15.75" customHeight="1"/>
    <row r="192" s="18" customFormat="1" ht="15.75" customHeight="1"/>
    <row r="193" s="18" customFormat="1" ht="15.75" customHeight="1"/>
    <row r="194" s="18" customFormat="1" ht="15.75" customHeight="1"/>
    <row r="195" s="18" customFormat="1" ht="15.75" customHeight="1"/>
    <row r="196" s="18" customFormat="1" ht="15.75" customHeight="1"/>
    <row r="197" s="18" customFormat="1" ht="15.75" customHeight="1"/>
    <row r="198" s="18" customFormat="1" ht="15.75" customHeight="1"/>
    <row r="199" s="18" customFormat="1" ht="15.75" customHeight="1"/>
    <row r="200" s="18" customFormat="1" ht="15.75" customHeight="1"/>
    <row r="201" s="18" customFormat="1" ht="15.75" customHeight="1"/>
    <row r="202" s="18" customFormat="1" ht="15.75" customHeight="1"/>
    <row r="203" s="18" customFormat="1" ht="15.75" customHeight="1"/>
    <row r="204" s="18" customFormat="1" ht="15.75" customHeight="1"/>
    <row r="205" s="18" customFormat="1" ht="15.75" customHeight="1"/>
    <row r="206" s="18" customFormat="1" ht="15.75" customHeight="1"/>
    <row r="207" s="18" customFormat="1" ht="15.75" customHeight="1"/>
    <row r="208" s="18" customFormat="1" ht="15.75" customHeight="1"/>
    <row r="209" s="18" customFormat="1" ht="15.75" customHeight="1"/>
    <row r="210" s="18" customFormat="1" ht="15.75" customHeight="1"/>
    <row r="211" s="18" customFormat="1" ht="15.75" customHeight="1"/>
    <row r="212" s="18" customFormat="1" ht="15.75" customHeight="1"/>
    <row r="213" s="18" customFormat="1" ht="15.75" customHeight="1"/>
    <row r="214" s="18" customFormat="1" ht="15.75" customHeight="1"/>
    <row r="215" s="18" customFormat="1" ht="15.75" customHeight="1"/>
    <row r="216" s="18" customFormat="1" ht="15.75" customHeight="1"/>
    <row r="217" s="18" customFormat="1" ht="15.75" customHeight="1"/>
    <row r="218" s="18" customFormat="1" ht="15.75" customHeight="1"/>
    <row r="219" s="18" customFormat="1" ht="15.75" customHeight="1"/>
    <row r="220" s="18" customFormat="1" ht="15.75" customHeight="1"/>
    <row r="221" s="18" customFormat="1" ht="15.75" customHeight="1"/>
    <row r="222" s="18" customFormat="1" ht="15.75" customHeight="1"/>
    <row r="223" s="18" customFormat="1" ht="15.75" customHeight="1"/>
    <row r="224" s="18" customFormat="1" ht="15.75" customHeight="1"/>
    <row r="225" s="18" customFormat="1" ht="15.75" customHeight="1"/>
    <row r="226" s="18" customFormat="1" ht="15.75" customHeight="1"/>
    <row r="227" s="18" customFormat="1" ht="15.75" customHeight="1"/>
    <row r="228" s="18" customFormat="1" ht="15.75" customHeight="1"/>
    <row r="229" s="18" customFormat="1" ht="15.75" customHeight="1"/>
    <row r="230" s="18" customFormat="1" ht="15.75" customHeight="1"/>
    <row r="231" s="18" customFormat="1" ht="15.75" customHeight="1"/>
    <row r="232" s="18" customFormat="1" ht="15.75" customHeight="1"/>
    <row r="233" s="18" customFormat="1" ht="15.75" customHeight="1"/>
    <row r="234" s="18" customFormat="1" ht="15.75" customHeight="1"/>
    <row r="235" s="18" customFormat="1" ht="15.75" customHeight="1"/>
    <row r="236" s="18" customFormat="1" ht="15.75" customHeight="1"/>
    <row r="237" s="18" customFormat="1" ht="15.75" customHeight="1"/>
    <row r="238" s="18" customFormat="1" ht="15.75" customHeight="1"/>
    <row r="239" s="18" customFormat="1" ht="15.75" customHeight="1"/>
    <row r="240" s="18" customFormat="1" ht="15.75" customHeight="1"/>
    <row r="241" s="18" customFormat="1" ht="15.75" customHeight="1"/>
    <row r="242" s="18" customFormat="1" ht="15.75" customHeight="1"/>
    <row r="243" s="18" customFormat="1" ht="15.75" customHeight="1"/>
    <row r="244" s="18" customFormat="1" ht="15.75" customHeight="1"/>
    <row r="245" s="18" customFormat="1" ht="15.75" customHeight="1"/>
    <row r="246" s="18" customFormat="1" ht="15.75" customHeight="1"/>
    <row r="247" s="18" customFormat="1" ht="15.75" customHeight="1"/>
    <row r="248" s="18" customFormat="1" ht="15.75" customHeight="1"/>
    <row r="249" s="18" customFormat="1" ht="15.75" customHeight="1"/>
    <row r="250" s="18" customFormat="1" ht="15.75" customHeight="1"/>
    <row r="251" s="18" customFormat="1" ht="15.75" customHeight="1"/>
    <row r="252" s="18" customFormat="1" ht="15.75" customHeight="1"/>
    <row r="253" s="18" customFormat="1" ht="15.75" customHeight="1"/>
    <row r="254" s="18" customFormat="1" ht="15.75" customHeight="1"/>
    <row r="255" s="18" customFormat="1" ht="15.75" customHeight="1"/>
    <row r="256" s="18" customFormat="1" ht="15.75" customHeight="1"/>
    <row r="257" s="18" customFormat="1" ht="15.75" customHeight="1"/>
    <row r="258" s="18" customFormat="1" ht="15.75" customHeight="1"/>
    <row r="259" s="18" customFormat="1" ht="15.75" customHeight="1"/>
    <row r="260" s="18" customFormat="1" ht="15.75" customHeight="1"/>
    <row r="261" s="18" customFormat="1" ht="15.75" customHeight="1"/>
    <row r="262" s="18" customFormat="1" ht="15.75" customHeight="1"/>
    <row r="263" s="18" customFormat="1" ht="15.75" customHeight="1"/>
    <row r="264" s="18" customFormat="1" ht="15.75" customHeight="1"/>
    <row r="265" s="18" customFormat="1" ht="15.75" customHeight="1"/>
    <row r="266" s="18" customFormat="1" ht="15.75" customHeight="1"/>
    <row r="267" s="18" customFormat="1" ht="15.75" customHeight="1"/>
    <row r="268" s="18" customFormat="1" ht="15.75" customHeight="1"/>
    <row r="269" s="18" customFormat="1" ht="15.75" customHeight="1"/>
    <row r="270" s="18" customFormat="1" ht="15.75" customHeight="1"/>
    <row r="271" s="18" customFormat="1" ht="15.75" customHeight="1"/>
    <row r="272" s="18" customFormat="1" ht="15.75" customHeight="1"/>
    <row r="273" s="18" customFormat="1" ht="15.75" customHeight="1"/>
    <row r="274" s="18" customFormat="1" ht="15.75" customHeight="1"/>
    <row r="275" s="18" customFormat="1" ht="15.75" customHeight="1"/>
    <row r="276" s="18" customFormat="1" ht="15.75" customHeight="1"/>
    <row r="277" s="18" customFormat="1" ht="15.75" customHeight="1"/>
    <row r="278" s="18" customFormat="1" ht="15.75" customHeight="1"/>
    <row r="279" s="18" customFormat="1" ht="15.75" customHeight="1"/>
    <row r="280" s="18" customFormat="1" ht="15.75" customHeight="1"/>
    <row r="281" s="18" customFormat="1" ht="15.75" customHeight="1"/>
    <row r="282" s="18" customFormat="1" ht="15.75" customHeight="1"/>
    <row r="283" s="18" customFormat="1" ht="15.75" customHeight="1"/>
    <row r="284" s="18" customFormat="1" ht="15.75" customHeight="1"/>
    <row r="285" s="18" customFormat="1" ht="15.75" customHeight="1"/>
    <row r="286" s="18" customFormat="1" ht="15.75" customHeight="1"/>
    <row r="287" s="18" customFormat="1" ht="15.75" customHeight="1"/>
    <row r="288" s="18" customFormat="1" ht="15.75" customHeight="1"/>
    <row r="289" s="18" customFormat="1" ht="15.75" customHeight="1"/>
    <row r="290" s="18" customFormat="1" ht="15.75" customHeight="1"/>
    <row r="291" s="18" customFormat="1" ht="15.75" customHeight="1"/>
    <row r="292" s="18" customFormat="1" ht="15.75" customHeight="1"/>
    <row r="293" s="18" customFormat="1" ht="15.75" customHeight="1"/>
    <row r="294" s="18" customFormat="1" ht="15.75" customHeight="1"/>
    <row r="295" s="18" customFormat="1" ht="15.75" customHeight="1"/>
    <row r="296" s="18" customFormat="1" ht="15.75" customHeight="1"/>
    <row r="297" s="18" customFormat="1" ht="15.75" customHeight="1"/>
    <row r="298" s="18" customFormat="1" ht="15.75" customHeight="1"/>
    <row r="299" s="18" customFormat="1" ht="15.75" customHeight="1"/>
    <row r="300" s="18" customFormat="1" ht="15.75" customHeight="1"/>
    <row r="301" s="18" customFormat="1" ht="15.75" customHeight="1"/>
    <row r="302" s="18" customFormat="1" ht="15.75" customHeight="1"/>
    <row r="303" s="18" customFormat="1" ht="15.75" customHeight="1"/>
    <row r="304" s="18" customFormat="1" ht="15.75" customHeight="1"/>
    <row r="305" s="18" customFormat="1" ht="15.75" customHeight="1"/>
    <row r="306" s="18" customFormat="1" ht="15.75" customHeight="1"/>
    <row r="307" s="18" customFormat="1" ht="15.75" customHeight="1"/>
    <row r="308" s="18" customFormat="1" ht="15.75" customHeight="1"/>
    <row r="309" s="18" customFormat="1" ht="15.75" customHeight="1"/>
    <row r="310" s="18" customFormat="1" ht="15.75" customHeight="1"/>
    <row r="311" s="18" customFormat="1" ht="15.75" customHeight="1"/>
    <row r="312" s="18" customFormat="1" ht="15.75" customHeight="1"/>
    <row r="313" s="18" customFormat="1" ht="15.75" customHeight="1"/>
    <row r="314" s="18" customFormat="1" ht="15.75" customHeight="1"/>
    <row r="315" s="18" customFormat="1" ht="15.75" customHeight="1"/>
    <row r="316" s="18" customFormat="1" ht="15.75" customHeight="1"/>
    <row r="317" s="18" customFormat="1" ht="15.75" customHeight="1"/>
    <row r="318" s="18" customFormat="1" ht="15.75" customHeight="1"/>
    <row r="319" s="18" customFormat="1" ht="15.75" customHeight="1"/>
    <row r="320" s="18" customFormat="1" ht="15.75" customHeight="1"/>
    <row r="321" s="18" customFormat="1" ht="15.75" customHeight="1"/>
    <row r="322" s="18" customFormat="1" ht="15.75" customHeight="1"/>
    <row r="323" s="18" customFormat="1" ht="15.75" customHeight="1"/>
    <row r="324" s="18" customFormat="1" ht="15.75" customHeight="1"/>
    <row r="325" s="18" customFormat="1" ht="15.75" customHeight="1"/>
    <row r="326" s="18" customFormat="1" ht="15.75" customHeight="1"/>
    <row r="327" s="18" customFormat="1" ht="15.75" customHeight="1"/>
    <row r="328" s="18" customFormat="1" ht="15.75" customHeight="1"/>
    <row r="329" s="18" customFormat="1" ht="15.75" customHeight="1"/>
    <row r="330" s="18" customFormat="1" ht="15.75" customHeight="1"/>
    <row r="331" s="18" customFormat="1" ht="15.75" customHeight="1"/>
    <row r="332" s="18" customFormat="1" ht="15.75" customHeight="1"/>
    <row r="333" s="18" customFormat="1" ht="15.75" customHeight="1"/>
    <row r="334" s="18" customFormat="1" ht="15.75" customHeight="1"/>
    <row r="335" s="18" customFormat="1" ht="15.75" customHeight="1"/>
    <row r="336" s="18" customFormat="1" ht="15.75" customHeight="1"/>
    <row r="337" s="18" customFormat="1" ht="15.75" customHeight="1"/>
    <row r="338" s="18" customFormat="1" ht="15.75" customHeight="1"/>
    <row r="339" s="18" customFormat="1" ht="15.75" customHeight="1"/>
    <row r="340" s="18" customFormat="1" ht="15.75" customHeight="1"/>
    <row r="341" s="18" customFormat="1" ht="15.75" customHeight="1"/>
    <row r="342" s="18" customFormat="1" ht="15.75" customHeight="1"/>
    <row r="343" s="18" customFormat="1" ht="15.75" customHeight="1"/>
    <row r="344" s="18" customFormat="1" ht="15.75" customHeight="1"/>
    <row r="345" s="18" customFormat="1" ht="15.75" customHeight="1"/>
    <row r="346" s="18" customFormat="1" ht="15.75" customHeight="1"/>
    <row r="347" s="18" customFormat="1" ht="15.75" customHeight="1"/>
    <row r="348" s="18" customFormat="1" ht="15.75" customHeight="1"/>
    <row r="349" s="18" customFormat="1" ht="15.75" customHeight="1"/>
    <row r="350" s="18" customFormat="1" ht="15.75" customHeight="1"/>
    <row r="351" s="18" customFormat="1" ht="15.75" customHeight="1"/>
    <row r="352" s="18" customFormat="1" ht="15.75" customHeight="1"/>
    <row r="353" s="18" customFormat="1" ht="15.75" customHeight="1"/>
    <row r="354" s="18" customFormat="1" ht="15.75" customHeight="1"/>
    <row r="355" s="18" customFormat="1" ht="15.75" customHeight="1"/>
    <row r="356" s="18" customFormat="1" ht="15.75" customHeight="1"/>
    <row r="357" s="18" customFormat="1" ht="15.75" customHeight="1"/>
    <row r="358" s="18" customFormat="1" ht="15.75" customHeight="1"/>
    <row r="359" s="18" customFormat="1" ht="15.75" customHeight="1"/>
    <row r="360" s="18" customFormat="1" ht="15.75" customHeight="1"/>
    <row r="361" s="18" customFormat="1" ht="15.75" customHeight="1"/>
    <row r="362" s="18" customFormat="1" ht="15.75" customHeight="1"/>
    <row r="363" s="18" customFormat="1" ht="15.75" customHeight="1"/>
    <row r="364" s="18" customFormat="1" ht="15.75" customHeight="1"/>
    <row r="365" s="18" customFormat="1" ht="15.75" customHeight="1"/>
    <row r="366" s="18" customFormat="1" ht="15.75" customHeight="1"/>
    <row r="367" s="18" customFormat="1" ht="15.75" customHeight="1"/>
    <row r="368" s="18" customFormat="1" ht="15.75" customHeight="1"/>
    <row r="369" s="18" customFormat="1" ht="15.75" customHeight="1"/>
    <row r="370" s="18" customFormat="1" ht="15.75" customHeight="1"/>
    <row r="371" s="18" customFormat="1" ht="15.75" customHeight="1"/>
    <row r="372" s="18" customFormat="1" ht="15.75" customHeight="1"/>
    <row r="373" s="18" customFormat="1" ht="15.75" customHeight="1"/>
    <row r="374" s="18" customFormat="1" ht="15.75" customHeight="1"/>
    <row r="375" s="18" customFormat="1" ht="15.75" customHeight="1"/>
    <row r="376" s="18" customFormat="1" ht="15.75" customHeight="1"/>
    <row r="377" s="18" customFormat="1" ht="15.75" customHeight="1"/>
    <row r="378" s="18" customFormat="1" ht="15.75" customHeight="1"/>
    <row r="379" s="18" customFormat="1" ht="15.75" customHeight="1"/>
    <row r="380" s="18" customFormat="1" ht="15.75" customHeight="1"/>
    <row r="381" s="18" customFormat="1" ht="15.75" customHeight="1"/>
    <row r="382" s="18" customFormat="1" ht="15.75" customHeight="1"/>
    <row r="383" s="18" customFormat="1" ht="15.75" customHeight="1"/>
    <row r="384" s="18" customFormat="1" ht="15.75" customHeight="1"/>
    <row r="385" s="18" customFormat="1" ht="15.75" customHeight="1"/>
    <row r="386" s="18" customFormat="1" ht="15.75" customHeight="1"/>
    <row r="387" s="18" customFormat="1" ht="15.75" customHeight="1"/>
    <row r="388" s="18" customFormat="1" ht="15.75" customHeight="1"/>
    <row r="389" s="18" customFormat="1" ht="15.75" customHeight="1"/>
    <row r="390" s="18" customFormat="1" ht="15.75" customHeight="1"/>
    <row r="391" s="18" customFormat="1" ht="15.75" customHeight="1"/>
    <row r="392" s="18" customFormat="1" ht="15.75" customHeight="1"/>
    <row r="393" s="18" customFormat="1" ht="15.75" customHeight="1"/>
    <row r="394" s="18" customFormat="1" ht="15.75" customHeight="1"/>
    <row r="395" s="18" customFormat="1" ht="15.75" customHeight="1"/>
    <row r="396" s="18" customFormat="1" ht="15.75" customHeight="1"/>
    <row r="397" s="18" customFormat="1" ht="15.75" customHeight="1"/>
    <row r="398" s="18" customFormat="1" ht="15.75" customHeight="1"/>
    <row r="399" s="18" customFormat="1" ht="15.75" customHeight="1"/>
    <row r="400" s="18" customFormat="1" ht="15.75" customHeight="1"/>
    <row r="401" s="18" customFormat="1" ht="15.75" customHeight="1"/>
    <row r="402" s="18" customFormat="1" ht="15.75" customHeight="1"/>
    <row r="403" s="18" customFormat="1" ht="15.75" customHeight="1"/>
    <row r="404" s="18" customFormat="1" ht="15.75" customHeight="1"/>
    <row r="405" s="18" customFormat="1" ht="15.75" customHeight="1"/>
    <row r="406" s="18" customFormat="1" ht="15.75" customHeight="1"/>
    <row r="407" s="18" customFormat="1" ht="15.75" customHeight="1"/>
    <row r="408" s="18" customFormat="1" ht="15.75" customHeight="1"/>
    <row r="409" s="18" customFormat="1" ht="15.75" customHeight="1"/>
    <row r="410" s="18" customFormat="1" ht="15.75" customHeight="1"/>
    <row r="411" s="18" customFormat="1" ht="15.75" customHeight="1"/>
    <row r="412" s="18" customFormat="1" ht="15.75" customHeight="1"/>
    <row r="413" s="18" customFormat="1" ht="15.75" customHeight="1"/>
    <row r="414" s="18" customFormat="1" ht="15.75" customHeight="1"/>
    <row r="415" s="18" customFormat="1" ht="15.75" customHeight="1"/>
    <row r="416" s="18" customFormat="1" ht="15.75" customHeight="1"/>
    <row r="417" s="18" customFormat="1" ht="15.75" customHeight="1"/>
    <row r="418" s="18" customFormat="1" ht="15.75" customHeight="1"/>
    <row r="419" s="18" customFormat="1" ht="15.75" customHeight="1"/>
    <row r="420" s="18" customFormat="1" ht="15.75" customHeight="1"/>
    <row r="421" s="18" customFormat="1" ht="15.75" customHeight="1"/>
    <row r="422" s="18" customFormat="1" ht="15.75" customHeight="1"/>
    <row r="423" s="18" customFormat="1" ht="15.75" customHeight="1"/>
    <row r="424" s="18" customFormat="1" ht="15.75" customHeight="1"/>
    <row r="425" s="18" customFormat="1" ht="15.75" customHeight="1"/>
    <row r="426" s="18" customFormat="1" ht="15.75" customHeight="1"/>
    <row r="427" s="18" customFormat="1" ht="15.75" customHeight="1"/>
    <row r="428" s="18" customFormat="1" ht="15.75" customHeight="1"/>
    <row r="429" s="18" customFormat="1" ht="15.75" customHeight="1"/>
    <row r="430" s="18" customFormat="1" ht="15.75" customHeight="1"/>
    <row r="431" s="18" customFormat="1" ht="15.75" customHeight="1"/>
    <row r="432" s="18" customFormat="1" ht="15.75" customHeight="1"/>
    <row r="433" s="18" customFormat="1" ht="15.75" customHeight="1"/>
    <row r="434" s="18" customFormat="1" ht="15.75" customHeight="1"/>
    <row r="435" s="18" customFormat="1" ht="15.75" customHeight="1"/>
    <row r="436" s="18" customFormat="1" ht="15.75" customHeight="1"/>
    <row r="437" s="18" customFormat="1" ht="15.75" customHeight="1"/>
    <row r="438" s="18" customFormat="1" ht="15.75" customHeight="1"/>
    <row r="439" s="18" customFormat="1" ht="15.75" customHeight="1"/>
    <row r="440" s="18" customFormat="1" ht="15.75" customHeight="1"/>
    <row r="441" s="18" customFormat="1" ht="15.75" customHeight="1"/>
    <row r="442" s="18" customFormat="1" ht="15.75" customHeight="1"/>
    <row r="443" s="18" customFormat="1" ht="15.75" customHeight="1"/>
    <row r="444" s="18" customFormat="1" ht="15.75" customHeight="1"/>
    <row r="445" s="18" customFormat="1" ht="15.75" customHeight="1"/>
    <row r="446" s="18" customFormat="1" ht="15.75" customHeight="1"/>
    <row r="447" s="18" customFormat="1" ht="15.75" customHeight="1"/>
    <row r="448" s="18" customFormat="1" ht="15.75" customHeight="1"/>
    <row r="449" s="18" customFormat="1" ht="15.75" customHeight="1"/>
    <row r="450" s="18" customFormat="1" ht="15.75" customHeight="1"/>
    <row r="451" s="18" customFormat="1" ht="15.75" customHeight="1"/>
    <row r="452" s="18" customFormat="1" ht="15.75" customHeight="1"/>
    <row r="453" s="18" customFormat="1" ht="15.75" customHeight="1"/>
    <row r="454" s="18" customFormat="1" ht="15.75" customHeight="1"/>
    <row r="455" s="18" customFormat="1" ht="15.75" customHeight="1"/>
    <row r="456" s="18" customFormat="1" ht="15.75" customHeight="1"/>
    <row r="457" s="18" customFormat="1" ht="15.75" customHeight="1"/>
    <row r="458" s="18" customFormat="1" ht="15.75" customHeight="1"/>
    <row r="459" s="18" customFormat="1" ht="15.75" customHeight="1"/>
    <row r="460" s="18" customFormat="1" ht="15.75" customHeight="1"/>
    <row r="461" s="18" customFormat="1" ht="15.75" customHeight="1"/>
    <row r="462" s="18" customFormat="1" ht="15.75" customHeight="1"/>
    <row r="463" s="18" customFormat="1" ht="15.75" customHeight="1"/>
    <row r="464" s="18" customFormat="1" ht="15.75" customHeight="1"/>
    <row r="465" s="18" customFormat="1" ht="15.75" customHeight="1"/>
    <row r="466" s="18" customFormat="1" ht="15.75" customHeight="1"/>
    <row r="467" s="18" customFormat="1" ht="15.75" customHeight="1"/>
    <row r="468" s="18" customFormat="1" ht="15.75" customHeight="1"/>
    <row r="469" s="18" customFormat="1" ht="15.75" customHeight="1"/>
    <row r="470" s="18" customFormat="1" ht="15.75" customHeight="1"/>
    <row r="471" s="18" customFormat="1" ht="15.75" customHeight="1"/>
    <row r="472" s="18" customFormat="1" ht="15.75" customHeight="1"/>
    <row r="473" s="18" customFormat="1" ht="15.75" customHeight="1"/>
    <row r="474" s="18" customFormat="1" ht="15.75" customHeight="1"/>
    <row r="475" s="18" customFormat="1" ht="15.75" customHeight="1"/>
    <row r="476" s="18" customFormat="1" ht="15.75" customHeight="1"/>
    <row r="477" s="18" customFormat="1" ht="15.75" customHeight="1"/>
    <row r="478" s="18" customFormat="1" ht="15.75" customHeight="1"/>
    <row r="479" s="18" customFormat="1" ht="15.75" customHeight="1"/>
    <row r="480" s="18" customFormat="1" ht="15.75" customHeight="1"/>
    <row r="481" s="18" customFormat="1" ht="15.75" customHeight="1"/>
    <row r="482" s="18" customFormat="1" ht="15.75" customHeight="1"/>
    <row r="483" s="18" customFormat="1" ht="15.75" customHeight="1"/>
    <row r="484" s="18" customFormat="1" ht="15.75" customHeight="1"/>
    <row r="485" s="18" customFormat="1" ht="15.75" customHeight="1"/>
    <row r="486" s="18" customFormat="1" ht="15.75" customHeight="1"/>
    <row r="487" s="18" customFormat="1" ht="15.75" customHeight="1"/>
    <row r="488" s="18" customFormat="1" ht="15.75" customHeight="1"/>
    <row r="489" s="18" customFormat="1" ht="15.75" customHeight="1"/>
    <row r="490" s="18" customFormat="1" ht="15.75" customHeight="1"/>
    <row r="491" s="18" customFormat="1" ht="15.75" customHeight="1"/>
    <row r="492" s="18" customFormat="1" ht="15.75" customHeight="1"/>
    <row r="493" s="18" customFormat="1" ht="15.75" customHeight="1"/>
    <row r="494" s="18" customFormat="1" ht="15.75" customHeight="1"/>
    <row r="495" s="18" customFormat="1" ht="15.75" customHeight="1"/>
    <row r="496" s="18" customFormat="1" ht="15.75" customHeight="1"/>
    <row r="497" s="18" customFormat="1" ht="15.75" customHeight="1"/>
    <row r="498" s="18" customFormat="1" ht="15.75" customHeight="1"/>
    <row r="499" s="18" customFormat="1" ht="15.75" customHeight="1"/>
    <row r="500" s="18" customFormat="1" ht="15.75" customHeight="1"/>
    <row r="501" s="18" customFormat="1" ht="15.75" customHeight="1"/>
    <row r="502" s="18" customFormat="1" ht="15.75" customHeight="1"/>
    <row r="503" s="18" customFormat="1" ht="15.75" customHeight="1"/>
    <row r="504" s="18" customFormat="1" ht="15.75" customHeight="1"/>
    <row r="505" s="18" customFormat="1" ht="15.75" customHeight="1"/>
    <row r="506" s="18" customFormat="1" ht="15.75" customHeight="1"/>
    <row r="507" s="18" customFormat="1" ht="15.75" customHeight="1"/>
    <row r="508" s="18" customFormat="1" ht="15.75" customHeight="1"/>
    <row r="509" s="18" customFormat="1" ht="15.75" customHeight="1"/>
    <row r="510" s="18" customFormat="1" ht="15.75" customHeight="1"/>
    <row r="511" s="18" customFormat="1" ht="15.75" customHeight="1"/>
    <row r="512" s="18" customFormat="1" ht="15.75" customHeight="1"/>
    <row r="513" s="18" customFormat="1" ht="15.75" customHeight="1"/>
    <row r="514" s="18" customFormat="1" ht="15.75" customHeight="1"/>
    <row r="515" s="18" customFormat="1" ht="15.75" customHeight="1"/>
    <row r="516" s="18" customFormat="1" ht="15.75" customHeight="1"/>
    <row r="517" s="18" customFormat="1" ht="15.75" customHeight="1"/>
    <row r="518" s="18" customFormat="1" ht="15.75" customHeight="1"/>
    <row r="519" s="18" customFormat="1" ht="15.75" customHeight="1"/>
    <row r="520" s="18" customFormat="1" ht="15.75" customHeight="1"/>
    <row r="521" s="18" customFormat="1" ht="15.75" customHeight="1"/>
    <row r="522" s="18" customFormat="1" ht="15.75" customHeight="1"/>
    <row r="523" s="18" customFormat="1" ht="15.75" customHeight="1"/>
    <row r="524" s="18" customFormat="1" ht="15.75" customHeight="1"/>
    <row r="525" s="18" customFormat="1" ht="15.75" customHeight="1"/>
    <row r="526" s="18" customFormat="1" ht="15.75" customHeight="1"/>
    <row r="527" s="18" customFormat="1" ht="15.75" customHeight="1"/>
    <row r="528" s="18" customFormat="1" ht="15.75" customHeight="1"/>
    <row r="529" s="18" customFormat="1" ht="15.75" customHeight="1"/>
    <row r="530" s="18" customFormat="1" ht="15.75" customHeight="1"/>
    <row r="531" s="18" customFormat="1" ht="15.75" customHeight="1"/>
    <row r="532" s="18" customFormat="1" ht="15.75" customHeight="1"/>
    <row r="533" s="18" customFormat="1" ht="15.75" customHeight="1"/>
    <row r="534" s="18" customFormat="1" ht="15.75" customHeight="1"/>
    <row r="535" s="18" customFormat="1" ht="15.75" customHeight="1"/>
    <row r="536" s="18" customFormat="1" ht="15.75" customHeight="1"/>
    <row r="537" s="18" customFormat="1" ht="15.75" customHeight="1"/>
    <row r="538" s="18" customFormat="1" ht="15.75" customHeight="1"/>
    <row r="539" s="18" customFormat="1" ht="15.75" customHeight="1"/>
    <row r="540" s="18" customFormat="1" ht="15.75" customHeight="1"/>
    <row r="541" s="18" customFormat="1" ht="15.75" customHeight="1"/>
    <row r="542" s="18" customFormat="1" ht="15.75" customHeight="1"/>
    <row r="543" s="18" customFormat="1" ht="15.75" customHeight="1"/>
    <row r="544" s="18" customFormat="1" ht="15.75" customHeight="1"/>
    <row r="545" s="18" customFormat="1" ht="15.75" customHeight="1"/>
    <row r="546" s="18" customFormat="1" ht="15.75" customHeight="1"/>
    <row r="547" s="18" customFormat="1" ht="15.75" customHeight="1"/>
    <row r="548" s="18" customFormat="1" ht="15.75" customHeight="1"/>
    <row r="549" s="18" customFormat="1" ht="15.75" customHeight="1"/>
    <row r="550" s="18" customFormat="1" ht="15.75" customHeight="1"/>
    <row r="551" s="18" customFormat="1" ht="15.75" customHeight="1"/>
    <row r="552" s="18" customFormat="1" ht="15.75" customHeight="1"/>
    <row r="553" s="18" customFormat="1" ht="15.75" customHeight="1"/>
    <row r="554" s="18" customFormat="1" ht="15.75" customHeight="1"/>
    <row r="555" s="18" customFormat="1" ht="15.75" customHeight="1"/>
    <row r="556" s="18" customFormat="1" ht="15.75" customHeight="1"/>
    <row r="557" s="18" customFormat="1" ht="15.75" customHeight="1"/>
    <row r="558" s="18" customFormat="1" ht="15.75" customHeight="1"/>
    <row r="559" s="18" customFormat="1" ht="15.75" customHeight="1"/>
    <row r="560" s="18" customFormat="1" ht="15.75" customHeight="1"/>
    <row r="561" s="18" customFormat="1" ht="15.75" customHeight="1"/>
    <row r="562" s="18" customFormat="1" ht="15.75" customHeight="1"/>
    <row r="563" s="18" customFormat="1" ht="15.75" customHeight="1"/>
    <row r="564" s="18" customFormat="1" ht="15.75" customHeight="1"/>
    <row r="565" s="18" customFormat="1" ht="15.75" customHeight="1"/>
    <row r="566" s="18" customFormat="1" ht="15.75" customHeight="1"/>
    <row r="567" s="18" customFormat="1" ht="15.75" customHeight="1"/>
    <row r="568" s="18" customFormat="1" ht="15.75" customHeight="1"/>
    <row r="569" s="18" customFormat="1" ht="15.75" customHeight="1"/>
    <row r="570" s="18" customFormat="1" ht="15.75" customHeight="1"/>
    <row r="571" s="18" customFormat="1" ht="15.75" customHeight="1"/>
    <row r="572" s="18" customFormat="1" ht="15.75" customHeight="1"/>
    <row r="573" s="18" customFormat="1" ht="15.75" customHeight="1"/>
    <row r="574" s="18" customFormat="1" ht="15.75" customHeight="1"/>
    <row r="575" s="18" customFormat="1" ht="15.75" customHeight="1"/>
    <row r="576" s="18" customFormat="1" ht="15.75" customHeight="1"/>
    <row r="577" s="18" customFormat="1" ht="15.75" customHeight="1"/>
    <row r="578" s="18" customFormat="1" ht="15.75" customHeight="1"/>
    <row r="579" s="18" customFormat="1" ht="15.75" customHeight="1"/>
    <row r="580" s="18" customFormat="1" ht="15.75" customHeight="1"/>
    <row r="581" s="18" customFormat="1" ht="15.75" customHeight="1"/>
    <row r="582" s="18" customFormat="1" ht="15.75" customHeight="1"/>
    <row r="583" s="18" customFormat="1" ht="15.75" customHeight="1"/>
    <row r="584" s="18" customFormat="1" ht="15.75" customHeight="1"/>
    <row r="585" s="18" customFormat="1" ht="15.75" customHeight="1"/>
    <row r="586" s="18" customFormat="1" ht="15.75" customHeight="1"/>
    <row r="587" s="18" customFormat="1" ht="15.75" customHeight="1"/>
    <row r="588" s="18" customFormat="1" ht="15.75" customHeight="1"/>
    <row r="589" s="18" customFormat="1" ht="15.75" customHeight="1"/>
    <row r="590" s="18" customFormat="1" ht="15.75" customHeight="1"/>
    <row r="591" s="18" customFormat="1" ht="15.75" customHeight="1"/>
    <row r="592" s="18" customFormat="1" ht="15.75" customHeight="1"/>
    <row r="593" s="18" customFormat="1" ht="15.75" customHeight="1"/>
    <row r="594" s="18" customFormat="1" ht="15.75" customHeight="1"/>
    <row r="595" s="18" customFormat="1" ht="15.75" customHeight="1"/>
    <row r="596" s="18" customFormat="1" ht="15.75" customHeight="1"/>
    <row r="597" s="18" customFormat="1" ht="15.75" customHeight="1"/>
    <row r="598" s="18" customFormat="1" ht="15.75" customHeight="1"/>
    <row r="599" s="18" customFormat="1" ht="15.75" customHeight="1"/>
    <row r="600" s="18" customFormat="1" ht="15.75" customHeight="1"/>
    <row r="601" s="18" customFormat="1" ht="15.75" customHeight="1"/>
    <row r="602" s="18" customFormat="1" ht="15.75" customHeight="1"/>
    <row r="603" s="18" customFormat="1" ht="15.75" customHeight="1"/>
    <row r="604" s="18" customFormat="1" ht="15.75" customHeight="1"/>
    <row r="605" s="18" customFormat="1" ht="15.75" customHeight="1"/>
    <row r="606" s="18" customFormat="1" ht="15.75" customHeight="1"/>
    <row r="607" s="18" customFormat="1" ht="15.75" customHeight="1"/>
    <row r="608" s="18" customFormat="1" ht="15.75" customHeight="1"/>
    <row r="609" s="18" customFormat="1" ht="15.75" customHeight="1"/>
    <row r="610" s="18" customFormat="1" ht="15.75" customHeight="1"/>
    <row r="611" s="18" customFormat="1" ht="15.75" customHeight="1"/>
    <row r="612" s="18" customFormat="1" ht="15.75" customHeight="1"/>
    <row r="613" s="18" customFormat="1" ht="15.75" customHeight="1"/>
    <row r="614" s="18" customFormat="1" ht="15.75" customHeight="1"/>
    <row r="615" s="18" customFormat="1" ht="15.75" customHeight="1"/>
    <row r="616" s="18" customFormat="1" ht="15.75" customHeight="1"/>
    <row r="617" s="18" customFormat="1" ht="15.75" customHeight="1"/>
    <row r="618" s="18" customFormat="1" ht="15.75" customHeight="1"/>
    <row r="619" s="18" customFormat="1" ht="15.75" customHeight="1"/>
    <row r="620" s="18" customFormat="1" ht="15.75" customHeight="1"/>
    <row r="621" s="18" customFormat="1" ht="15.75" customHeight="1"/>
    <row r="622" s="18" customFormat="1" ht="15.75" customHeight="1"/>
    <row r="623" s="18" customFormat="1" ht="15.75" customHeight="1"/>
    <row r="624" s="18" customFormat="1" ht="15.75" customHeight="1"/>
    <row r="625" s="18" customFormat="1" ht="15.75" customHeight="1"/>
    <row r="626" s="18" customFormat="1" ht="15.75" customHeight="1"/>
    <row r="627" s="18" customFormat="1" ht="15.75" customHeight="1"/>
    <row r="628" s="18" customFormat="1" ht="15.75" customHeight="1"/>
    <row r="629" s="18" customFormat="1" ht="15.75" customHeight="1"/>
    <row r="630" s="18" customFormat="1" ht="15.75" customHeight="1"/>
    <row r="631" s="18" customFormat="1" ht="15.75" customHeight="1"/>
    <row r="632" s="18" customFormat="1" ht="15.75" customHeight="1"/>
    <row r="633" s="18" customFormat="1" ht="15.75" customHeight="1"/>
    <row r="634" s="18" customFormat="1" ht="15.75" customHeight="1"/>
    <row r="635" s="18" customFormat="1" ht="15.75" customHeight="1"/>
    <row r="636" s="18" customFormat="1" ht="15.75" customHeight="1"/>
    <row r="637" s="18" customFormat="1" ht="15.75" customHeight="1"/>
    <row r="638" s="18" customFormat="1" ht="15.75" customHeight="1"/>
    <row r="639" s="18" customFormat="1" ht="15.75" customHeight="1"/>
    <row r="640" s="18" customFormat="1" ht="15.75" customHeight="1"/>
    <row r="641" s="18" customFormat="1" ht="15.75" customHeight="1"/>
    <row r="642" s="18" customFormat="1" ht="15.75" customHeight="1"/>
    <row r="643" s="18" customFormat="1" ht="15.75" customHeight="1"/>
    <row r="644" s="18" customFormat="1" ht="15.75" customHeight="1"/>
    <row r="645" s="18" customFormat="1" ht="15.75" customHeight="1"/>
    <row r="646" s="18" customFormat="1" ht="15.75" customHeight="1"/>
    <row r="647" s="18" customFormat="1" ht="15.75" customHeight="1"/>
    <row r="648" s="18" customFormat="1" ht="15.75" customHeight="1"/>
    <row r="649" s="18" customFormat="1" ht="15.75" customHeight="1"/>
    <row r="650" s="18" customFormat="1" ht="15.75" customHeight="1"/>
    <row r="651" s="18" customFormat="1" ht="15.75" customHeight="1"/>
    <row r="652" s="18" customFormat="1" ht="15.75" customHeight="1"/>
    <row r="653" s="18" customFormat="1" ht="15.75" customHeight="1"/>
    <row r="654" s="18" customFormat="1" ht="15.75" customHeight="1"/>
    <row r="655" s="18" customFormat="1" ht="15.75" customHeight="1"/>
    <row r="656" s="18" customFormat="1" ht="15.75" customHeight="1"/>
    <row r="657" s="18" customFormat="1" ht="15.75" customHeight="1"/>
    <row r="658" s="18" customFormat="1" ht="15.75" customHeight="1"/>
    <row r="659" s="18" customFormat="1" ht="15.75" customHeight="1"/>
    <row r="660" s="18" customFormat="1" ht="15.75" customHeight="1"/>
    <row r="661" s="18" customFormat="1" ht="15.75" customHeight="1"/>
    <row r="662" s="18" customFormat="1" ht="15.75" customHeight="1"/>
    <row r="663" s="18" customFormat="1" ht="15.75" customHeight="1"/>
    <row r="664" s="18" customFormat="1" ht="15.75" customHeight="1"/>
    <row r="665" s="18" customFormat="1" ht="15.75" customHeight="1"/>
    <row r="666" s="18" customFormat="1" ht="15.75" customHeight="1"/>
    <row r="667" s="18" customFormat="1" ht="15.75" customHeight="1"/>
    <row r="668" s="18" customFormat="1" ht="15.75" customHeight="1"/>
    <row r="669" s="18" customFormat="1" ht="15.75" customHeight="1"/>
    <row r="670" s="18" customFormat="1" ht="15.75" customHeight="1"/>
    <row r="671" s="18" customFormat="1" ht="15.75" customHeight="1"/>
    <row r="672" s="18" customFormat="1" ht="15.75" customHeight="1"/>
    <row r="673" s="18" customFormat="1" ht="15.75" customHeight="1"/>
    <row r="674" s="18" customFormat="1" ht="15.75" customHeight="1"/>
    <row r="675" s="18" customFormat="1" ht="15.75" customHeight="1"/>
    <row r="676" s="18" customFormat="1" ht="15.75" customHeight="1"/>
    <row r="677" s="18" customFormat="1" ht="15.75" customHeight="1"/>
    <row r="678" s="18" customFormat="1" ht="15.75" customHeight="1"/>
    <row r="679" s="18" customFormat="1" ht="15.75" customHeight="1"/>
    <row r="680" s="18" customFormat="1" ht="15.75" customHeight="1"/>
    <row r="681" s="18" customFormat="1" ht="15.75" customHeight="1"/>
    <row r="682" s="18" customFormat="1" ht="15.75" customHeight="1"/>
    <row r="683" s="18" customFormat="1" ht="15.75" customHeight="1"/>
    <row r="684" s="18" customFormat="1" ht="15.75" customHeight="1"/>
    <row r="685" s="18" customFormat="1" ht="15.75" customHeight="1"/>
    <row r="686" s="18" customFormat="1" ht="15.75" customHeight="1"/>
    <row r="687" s="18" customFormat="1" ht="15.75" customHeight="1"/>
    <row r="688" s="18" customFormat="1" ht="15.75" customHeight="1"/>
    <row r="689" s="18" customFormat="1" ht="15.75" customHeight="1"/>
    <row r="690" s="18" customFormat="1" ht="15.75" customHeight="1"/>
    <row r="691" s="18" customFormat="1" ht="15.75" customHeight="1"/>
    <row r="692" s="18" customFormat="1" ht="15.75" customHeight="1"/>
    <row r="693" s="18" customFormat="1" ht="15.75" customHeight="1"/>
    <row r="694" s="18" customFormat="1" ht="15.75" customHeight="1"/>
    <row r="695" s="18" customFormat="1" ht="15.75" customHeight="1"/>
    <row r="696" s="18" customFormat="1" ht="15.75" customHeight="1"/>
    <row r="697" s="18" customFormat="1" ht="15.75" customHeight="1"/>
    <row r="698" s="18" customFormat="1" ht="15.75" customHeight="1"/>
    <row r="699" s="18" customFormat="1" ht="15.75" customHeight="1"/>
    <row r="700" s="18" customFormat="1" ht="15.75" customHeight="1"/>
    <row r="701" s="18" customFormat="1" ht="15.75" customHeight="1"/>
    <row r="702" s="18" customFormat="1" ht="15.75" customHeight="1"/>
    <row r="703" s="18" customFormat="1" ht="15.75" customHeight="1"/>
    <row r="704" s="18" customFormat="1" ht="15.75" customHeight="1"/>
    <row r="705" s="18" customFormat="1" ht="15.75" customHeight="1"/>
    <row r="706" s="18" customFormat="1" ht="15.75" customHeight="1"/>
    <row r="707" s="18" customFormat="1" ht="15.75" customHeight="1"/>
    <row r="708" s="18" customFormat="1" ht="15.75" customHeight="1"/>
    <row r="709" s="18" customFormat="1" ht="15.75" customHeight="1"/>
    <row r="710" s="18" customFormat="1" ht="15.75" customHeight="1"/>
    <row r="711" s="18" customFormat="1" ht="15.75" customHeight="1"/>
    <row r="712" s="18" customFormat="1" ht="15.75" customHeight="1"/>
    <row r="713" s="18" customFormat="1" ht="15.75" customHeight="1"/>
    <row r="714" s="18" customFormat="1" ht="15.75" customHeight="1"/>
    <row r="715" s="18" customFormat="1" ht="15.75" customHeight="1"/>
    <row r="716" s="18" customFormat="1" ht="15.75" customHeight="1"/>
    <row r="717" s="18" customFormat="1" ht="15.75" customHeight="1"/>
    <row r="718" s="18" customFormat="1" ht="15.75" customHeight="1"/>
    <row r="719" s="18" customFormat="1" ht="15.75" customHeight="1"/>
    <row r="720" s="18" customFormat="1" ht="15.75" customHeight="1"/>
    <row r="721" s="18" customFormat="1" ht="15.75" customHeight="1"/>
    <row r="722" s="18" customFormat="1" ht="15.75" customHeight="1"/>
    <row r="723" s="18" customFormat="1" ht="15.75" customHeight="1"/>
    <row r="724" s="18" customFormat="1" ht="15.75" customHeight="1"/>
    <row r="725" s="18" customFormat="1" ht="15.75" customHeight="1"/>
    <row r="726" s="18" customFormat="1" ht="15.75" customHeight="1"/>
    <row r="727" s="18" customFormat="1" ht="15.75" customHeight="1"/>
    <row r="728" s="18" customFormat="1" ht="15.75" customHeight="1"/>
    <row r="729" s="18" customFormat="1" ht="15.75" customHeight="1"/>
    <row r="730" s="18" customFormat="1" ht="15.75" customHeight="1"/>
    <row r="731" s="18" customFormat="1" ht="15.75" customHeight="1"/>
    <row r="732" s="18" customFormat="1" ht="15.75" customHeight="1"/>
    <row r="733" s="18" customFormat="1" ht="15.75" customHeight="1"/>
    <row r="734" s="18" customFormat="1" ht="15.75" customHeight="1"/>
    <row r="735" s="18" customFormat="1" ht="15.75" customHeight="1"/>
    <row r="736" s="18" customFormat="1" ht="15.75" customHeight="1"/>
    <row r="737" s="18" customFormat="1" ht="15.75" customHeight="1"/>
    <row r="738" s="18" customFormat="1" ht="15.75" customHeight="1"/>
    <row r="739" s="18" customFormat="1" ht="15.75" customHeight="1"/>
    <row r="740" s="18" customFormat="1" ht="15.75" customHeight="1"/>
    <row r="741" s="18" customFormat="1" ht="15.75" customHeight="1"/>
    <row r="742" s="18" customFormat="1" ht="15.75" customHeight="1"/>
    <row r="743" s="18" customFormat="1" ht="15.75" customHeight="1"/>
    <row r="744" s="18" customFormat="1" ht="15.75" customHeight="1"/>
    <row r="745" s="18" customFormat="1" ht="15.75" customHeight="1"/>
    <row r="746" s="18" customFormat="1" ht="15.75" customHeight="1"/>
    <row r="747" s="18" customFormat="1" ht="15.75" customHeight="1"/>
    <row r="748" s="18" customFormat="1" ht="15.75" customHeight="1"/>
    <row r="749" s="18" customFormat="1" ht="15.75" customHeight="1"/>
    <row r="750" s="18" customFormat="1" ht="15.75" customHeight="1"/>
    <row r="751" s="18" customFormat="1" ht="15.75" customHeight="1"/>
    <row r="752" s="18" customFormat="1" ht="15.75" customHeight="1"/>
    <row r="753" s="18" customFormat="1" ht="15.75" customHeight="1"/>
    <row r="754" s="18" customFormat="1" ht="15.75" customHeight="1"/>
    <row r="755" s="18" customFormat="1" ht="15.75" customHeight="1"/>
    <row r="756" s="18" customFormat="1" ht="15.75" customHeight="1"/>
    <row r="757" s="18" customFormat="1" ht="15.75" customHeight="1"/>
    <row r="758" s="18" customFormat="1" ht="15.75" customHeight="1"/>
    <row r="759" s="18" customFormat="1" ht="15.75" customHeight="1"/>
    <row r="760" s="18" customFormat="1" ht="15.75" customHeight="1"/>
    <row r="761" s="18" customFormat="1" ht="15.75" customHeight="1"/>
    <row r="762" s="18" customFormat="1" ht="15.75" customHeight="1"/>
    <row r="763" s="18" customFormat="1" ht="15.75" customHeight="1"/>
    <row r="764" s="18" customFormat="1" ht="15.75" customHeight="1"/>
    <row r="765" s="18" customFormat="1" ht="15.75" customHeight="1"/>
    <row r="766" s="18" customFormat="1" ht="15.75" customHeight="1"/>
    <row r="767" s="18" customFormat="1" ht="15.75" customHeight="1"/>
    <row r="768" s="18" customFormat="1" ht="15.75" customHeight="1"/>
    <row r="769" s="18" customFormat="1" ht="15.75" customHeight="1"/>
    <row r="770" s="18" customFormat="1" ht="15.75" customHeight="1"/>
    <row r="771" s="18" customFormat="1" ht="15.75" customHeight="1"/>
    <row r="772" s="18" customFormat="1" ht="15.75" customHeight="1"/>
    <row r="773" s="18" customFormat="1" ht="15.75" customHeight="1"/>
    <row r="774" s="18" customFormat="1" ht="15.75" customHeight="1"/>
    <row r="775" s="18" customFormat="1" ht="15.75" customHeight="1"/>
    <row r="776" s="18" customFormat="1" ht="15.75" customHeight="1"/>
    <row r="777" s="18" customFormat="1" ht="15.75" customHeight="1"/>
    <row r="778" s="18" customFormat="1" ht="15.75" customHeight="1"/>
    <row r="779" s="18" customFormat="1" ht="15.75" customHeight="1"/>
    <row r="780" s="18" customFormat="1" ht="15.75" customHeight="1"/>
    <row r="781" s="18" customFormat="1" ht="15.75" customHeight="1"/>
    <row r="782" s="18" customFormat="1" ht="15.75" customHeight="1"/>
    <row r="783" s="18" customFormat="1" ht="15.75" customHeight="1"/>
    <row r="784" s="18" customFormat="1" ht="15.75" customHeight="1"/>
    <row r="785" s="18" customFormat="1" ht="15.75" customHeight="1"/>
    <row r="786" s="18" customFormat="1" ht="15.75" customHeight="1"/>
    <row r="787" s="18" customFormat="1" ht="15.75" customHeight="1"/>
    <row r="788" s="18" customFormat="1" ht="15.75" customHeight="1"/>
    <row r="789" s="18" customFormat="1" ht="15.75" customHeight="1"/>
    <row r="790" s="18" customFormat="1" ht="15.75" customHeight="1"/>
    <row r="791" s="18" customFormat="1" ht="15.75" customHeight="1"/>
    <row r="792" s="18" customFormat="1" ht="15.75" customHeight="1"/>
    <row r="793" s="18" customFormat="1" ht="15.75" customHeight="1"/>
    <row r="794" s="18" customFormat="1" ht="15.75" customHeight="1"/>
    <row r="795" s="18" customFormat="1" ht="15.75" customHeight="1"/>
    <row r="796" s="18" customFormat="1" ht="15.75" customHeight="1"/>
    <row r="797" s="18" customFormat="1" ht="15.75" customHeight="1"/>
    <row r="798" s="18" customFormat="1" ht="15.75" customHeight="1"/>
    <row r="799" s="18" customFormat="1" ht="15.75" customHeight="1"/>
    <row r="800" s="18" customFormat="1" ht="15.75" customHeight="1"/>
    <row r="801" s="18" customFormat="1" ht="15.75" customHeight="1"/>
    <row r="802" s="18" customFormat="1" ht="15.75" customHeight="1"/>
    <row r="803" s="18" customFormat="1" ht="15.75" customHeight="1"/>
    <row r="804" s="18" customFormat="1" ht="15.75" customHeight="1"/>
    <row r="805" s="18" customFormat="1" ht="15.75" customHeight="1"/>
    <row r="806" s="18" customFormat="1" ht="15.75" customHeight="1"/>
    <row r="807" s="18" customFormat="1" ht="15.75" customHeight="1"/>
    <row r="808" s="18" customFormat="1" ht="15.75" customHeight="1"/>
    <row r="809" s="18" customFormat="1" ht="15.75" customHeight="1"/>
    <row r="810" s="18" customFormat="1" ht="15.75" customHeight="1"/>
    <row r="811" s="18" customFormat="1" ht="15.75" customHeight="1"/>
    <row r="812" s="18" customFormat="1" ht="15.75" customHeight="1"/>
    <row r="813" s="18" customFormat="1" ht="15.75" customHeight="1"/>
    <row r="814" s="18" customFormat="1" ht="15.75" customHeight="1"/>
    <row r="815" s="18" customFormat="1" ht="15.75" customHeight="1"/>
    <row r="816" s="18" customFormat="1" ht="15.75" customHeight="1"/>
    <row r="817" s="18" customFormat="1" ht="15.75" customHeight="1"/>
    <row r="818" s="18" customFormat="1" ht="15.75" customHeight="1"/>
    <row r="819" s="18" customFormat="1" ht="15.75" customHeight="1"/>
    <row r="820" s="18" customFormat="1" ht="15.75" customHeight="1"/>
    <row r="821" s="18" customFormat="1" ht="15.75" customHeight="1"/>
    <row r="822" s="18" customFormat="1" ht="15.75" customHeight="1"/>
    <row r="823" s="18" customFormat="1" ht="15.75" customHeight="1"/>
    <row r="824" s="18" customFormat="1" ht="15.75" customHeight="1"/>
    <row r="825" s="18" customFormat="1" ht="15.75" customHeight="1"/>
    <row r="826" s="18" customFormat="1" ht="15.75" customHeight="1"/>
    <row r="827" s="18" customFormat="1" ht="15.75" customHeight="1"/>
    <row r="828" s="18" customFormat="1" ht="15.75" customHeight="1"/>
    <row r="829" s="18" customFormat="1" ht="15.75" customHeight="1"/>
    <row r="830" s="18" customFormat="1" ht="15.75" customHeight="1"/>
    <row r="831" s="18" customFormat="1" ht="15.75" customHeight="1"/>
    <row r="832" s="18" customFormat="1" ht="15.75" customHeight="1"/>
    <row r="833" s="18" customFormat="1" ht="15.75" customHeight="1"/>
    <row r="834" s="18" customFormat="1" ht="15.75" customHeight="1"/>
    <row r="835" s="18" customFormat="1" ht="15.75" customHeight="1"/>
    <row r="836" s="18" customFormat="1" ht="15.75" customHeight="1"/>
    <row r="837" s="18" customFormat="1" ht="15.75" customHeight="1"/>
    <row r="838" s="18" customFormat="1" ht="15.75" customHeight="1"/>
    <row r="839" s="18" customFormat="1" ht="15.75" customHeight="1"/>
    <row r="840" s="18" customFormat="1" ht="15.75" customHeight="1"/>
    <row r="841" s="18" customFormat="1" ht="15.75" customHeight="1"/>
    <row r="842" s="18" customFormat="1" ht="15.75" customHeight="1"/>
    <row r="843" s="18" customFormat="1" ht="15.75" customHeight="1"/>
    <row r="844" s="18" customFormat="1" ht="15.75" customHeight="1"/>
    <row r="845" s="18" customFormat="1" ht="15.75" customHeight="1"/>
    <row r="846" s="18" customFormat="1" ht="15.75" customHeight="1"/>
    <row r="847" s="18" customFormat="1" ht="15.75" customHeight="1"/>
    <row r="848" s="18" customFormat="1" ht="15.75" customHeight="1"/>
    <row r="849" s="18" customFormat="1" ht="15.75" customHeight="1"/>
    <row r="850" s="18" customFormat="1" ht="15.75" customHeight="1"/>
    <row r="851" s="18" customFormat="1" ht="15.75" customHeight="1"/>
    <row r="852" s="18" customFormat="1" ht="15.75" customHeight="1"/>
    <row r="853" s="18" customFormat="1" ht="15.75" customHeight="1"/>
    <row r="854" s="18" customFormat="1" ht="15.75" customHeight="1"/>
    <row r="855" s="18" customFormat="1" ht="15.75" customHeight="1"/>
    <row r="856" s="18" customFormat="1" ht="15.75" customHeight="1"/>
    <row r="857" s="18" customFormat="1" ht="15.75" customHeight="1"/>
    <row r="858" s="18" customFormat="1" ht="15.75" customHeight="1"/>
    <row r="859" s="18" customFormat="1" ht="15.75" customHeight="1"/>
    <row r="860" s="18" customFormat="1" ht="15.75" customHeight="1"/>
    <row r="861" s="18" customFormat="1" ht="15.75" customHeight="1"/>
    <row r="862" s="18" customFormat="1" ht="15.75" customHeight="1"/>
    <row r="863" s="18" customFormat="1" ht="15.75" customHeight="1"/>
    <row r="864" s="18" customFormat="1" ht="15.75" customHeight="1"/>
    <row r="865" s="18" customFormat="1" ht="15.75" customHeight="1"/>
    <row r="866" s="18" customFormat="1" ht="15.75" customHeight="1"/>
    <row r="867" s="18" customFormat="1" ht="15.75" customHeight="1"/>
    <row r="868" s="18" customFormat="1" ht="15.75" customHeight="1"/>
    <row r="869" s="18" customFormat="1" ht="15.75" customHeight="1"/>
    <row r="870" s="18" customFormat="1" ht="15.75" customHeight="1"/>
    <row r="871" s="18" customFormat="1" ht="15.75" customHeight="1"/>
    <row r="872" s="18" customFormat="1" ht="15.75" customHeight="1"/>
    <row r="873" s="18" customFormat="1" ht="15.75" customHeight="1"/>
    <row r="874" s="18" customFormat="1" ht="15.75" customHeight="1"/>
    <row r="875" s="18" customFormat="1" ht="15.75" customHeight="1"/>
    <row r="876" s="18" customFormat="1" ht="15.75" customHeight="1"/>
    <row r="877" s="18" customFormat="1" ht="15.75" customHeight="1"/>
    <row r="878" s="18" customFormat="1" ht="15.75" customHeight="1"/>
    <row r="879" s="18" customFormat="1" ht="15.75" customHeight="1"/>
    <row r="880" s="18" customFormat="1" ht="15.75" customHeight="1"/>
    <row r="881" s="18" customFormat="1" ht="15.75" customHeight="1"/>
    <row r="882" s="18" customFormat="1" ht="15.75" customHeight="1"/>
    <row r="883" s="18" customFormat="1" ht="15.75" customHeight="1"/>
    <row r="884" s="18" customFormat="1" ht="15.75" customHeight="1"/>
    <row r="885" s="18" customFormat="1" ht="15.75" customHeight="1"/>
    <row r="886" s="18" customFormat="1" ht="15.75" customHeight="1"/>
    <row r="887" s="18" customFormat="1" ht="15.75" customHeight="1"/>
    <row r="888" s="18" customFormat="1" ht="15.75" customHeight="1"/>
    <row r="889" s="18" customFormat="1" ht="15.75" customHeight="1"/>
    <row r="890" s="18" customFormat="1" ht="15.75" customHeight="1"/>
    <row r="891" s="18" customFormat="1" ht="15.75" customHeight="1"/>
    <row r="892" s="18" customFormat="1" ht="15.75" customHeight="1"/>
    <row r="893" s="18" customFormat="1" ht="15.75" customHeight="1"/>
    <row r="894" s="18" customFormat="1" ht="15.75" customHeight="1"/>
    <row r="895" s="18" customFormat="1" ht="15.75" customHeight="1"/>
    <row r="896" s="18" customFormat="1" ht="15.75" customHeight="1"/>
    <row r="897" s="18" customFormat="1" ht="15.75" customHeight="1"/>
    <row r="898" s="18" customFormat="1" ht="15.75" customHeight="1"/>
    <row r="899" s="18" customFormat="1" ht="15.75" customHeight="1"/>
    <row r="900" s="18" customFormat="1" ht="15.75" customHeight="1"/>
    <row r="901" s="18" customFormat="1" ht="15.75" customHeight="1"/>
    <row r="902" s="18" customFormat="1" ht="15.75" customHeight="1"/>
    <row r="903" s="18" customFormat="1" ht="15.75" customHeight="1"/>
    <row r="904" s="18" customFormat="1" ht="15.75" customHeight="1"/>
    <row r="905" s="18" customFormat="1" ht="15.75" customHeight="1"/>
    <row r="906" s="18" customFormat="1" ht="15.75" customHeight="1"/>
    <row r="907" s="18" customFormat="1" ht="15.75" customHeight="1"/>
    <row r="908" s="18" customFormat="1" ht="15.75" customHeight="1"/>
    <row r="909" s="18" customFormat="1" ht="15.75" customHeight="1"/>
    <row r="910" s="18" customFormat="1" ht="15.75" customHeight="1"/>
    <row r="911" s="18" customFormat="1" ht="15.75" customHeight="1"/>
    <row r="912" s="18" customFormat="1" ht="15.75" customHeight="1"/>
    <row r="913" s="18" customFormat="1" ht="15.75" customHeight="1"/>
    <row r="914" s="18" customFormat="1" ht="15.75" customHeight="1"/>
    <row r="915" s="18" customFormat="1" ht="15.75" customHeight="1"/>
    <row r="916" s="18" customFormat="1" ht="15.75" customHeight="1"/>
    <row r="917" s="18" customFormat="1" ht="15.75" customHeight="1"/>
    <row r="918" s="18" customFormat="1" ht="15.75" customHeight="1"/>
    <row r="919" s="18" customFormat="1" ht="15.75" customHeight="1"/>
    <row r="920" s="18" customFormat="1" ht="15.75" customHeight="1"/>
    <row r="921" s="18" customFormat="1" ht="15.75" customHeight="1"/>
    <row r="922" s="18" customFormat="1" ht="15.75" customHeight="1"/>
    <row r="923" s="18" customFormat="1" ht="15.75" customHeight="1"/>
    <row r="924" s="18" customFormat="1" ht="15.75" customHeight="1"/>
    <row r="925" s="18" customFormat="1" ht="15.75" customHeight="1"/>
    <row r="926" s="18" customFormat="1" ht="15.75" customHeight="1"/>
    <row r="927" s="18" customFormat="1" ht="15.75" customHeight="1"/>
    <row r="928" s="18" customFormat="1" ht="15.75" customHeight="1"/>
    <row r="929" s="18" customFormat="1" ht="15.75" customHeight="1"/>
    <row r="930" s="18" customFormat="1" ht="15.75" customHeight="1"/>
    <row r="931" s="18" customFormat="1" ht="15.75" customHeight="1"/>
    <row r="932" s="18" customFormat="1" ht="15.75" customHeight="1"/>
    <row r="933" s="18" customFormat="1" ht="15.75" customHeight="1"/>
    <row r="934" s="18" customFormat="1" ht="15.75" customHeight="1"/>
    <row r="935" s="18" customFormat="1" ht="15.75" customHeight="1"/>
    <row r="936" s="18" customFormat="1" ht="15.75" customHeight="1"/>
    <row r="937" s="18" customFormat="1" ht="15.75" customHeight="1"/>
    <row r="938" s="18" customFormat="1" ht="15.75" customHeight="1"/>
    <row r="939" s="18" customFormat="1" ht="15.75" customHeight="1"/>
    <row r="940" s="18" customFormat="1" ht="15.75" customHeight="1"/>
    <row r="941" s="18" customFormat="1" ht="15.75" customHeight="1"/>
    <row r="942" s="18" customFormat="1" ht="15.75" customHeight="1"/>
    <row r="943" s="18" customFormat="1" ht="15.75" customHeight="1"/>
    <row r="944" s="18" customFormat="1" ht="15.75" customHeight="1"/>
    <row r="945" s="18" customFormat="1" ht="15.75" customHeight="1"/>
    <row r="946" s="18" customFormat="1" ht="15.75" customHeight="1"/>
    <row r="947" s="18" customFormat="1" ht="15.75" customHeight="1"/>
    <row r="948" s="18" customFormat="1" ht="15.75" customHeight="1"/>
    <row r="949" s="18" customFormat="1" ht="15.75" customHeight="1"/>
    <row r="950" s="18" customFormat="1" ht="15.75" customHeight="1"/>
    <row r="951" s="18" customFormat="1" ht="15.75" customHeight="1"/>
    <row r="952" s="18" customFormat="1" ht="15.75" customHeight="1"/>
    <row r="953" s="18" customFormat="1" ht="15.75" customHeight="1"/>
    <row r="954" s="18" customFormat="1" ht="15.75" customHeight="1"/>
    <row r="955" s="18" customFormat="1" ht="15.75" customHeight="1"/>
    <row r="956" s="18" customFormat="1" ht="15.75" customHeight="1"/>
    <row r="957" s="18" customFormat="1" ht="15.75" customHeight="1"/>
    <row r="958" s="18" customFormat="1" ht="15.75" customHeight="1"/>
    <row r="959" s="18" customFormat="1" ht="15.75" customHeight="1"/>
    <row r="960" s="18" customFormat="1" ht="15.75" customHeight="1"/>
    <row r="961" s="18" customFormat="1" ht="15.75" customHeight="1"/>
    <row r="962" s="18" customFormat="1" ht="15.75" customHeight="1"/>
    <row r="963" s="18" customFormat="1" ht="15.75" customHeight="1"/>
    <row r="964" s="18" customFormat="1" ht="15.75" customHeight="1"/>
    <row r="965" s="18" customFormat="1" ht="15.75" customHeight="1"/>
    <row r="966" s="18" customFormat="1" ht="15.75" customHeight="1"/>
    <row r="967" s="18" customFormat="1" ht="15.75" customHeight="1"/>
    <row r="968" s="18" customFormat="1" ht="15.75" customHeight="1"/>
    <row r="969" s="18" customFormat="1" ht="15.75" customHeight="1"/>
    <row r="970" s="18" customFormat="1" ht="15.75" customHeight="1"/>
    <row r="971" s="18" customFormat="1" ht="15.75" customHeight="1"/>
    <row r="972" s="18" customFormat="1" ht="15.75" customHeight="1"/>
    <row r="973" s="18" customFormat="1" ht="15.75" customHeight="1"/>
    <row r="974" s="18" customFormat="1" ht="15.75" customHeight="1"/>
    <row r="975" s="18" customFormat="1" ht="15.75" customHeight="1"/>
    <row r="976" s="18" customFormat="1" ht="15.75" customHeight="1"/>
    <row r="977" s="18" customFormat="1" ht="15.75" customHeight="1"/>
    <row r="978" s="18" customFormat="1" ht="15.75" customHeight="1"/>
    <row r="979" s="18" customFormat="1" ht="15.75" customHeight="1"/>
    <row r="980" s="18" customFormat="1" ht="15.75" customHeight="1"/>
    <row r="981" s="18" customFormat="1" ht="15.75" customHeight="1"/>
    <row r="982" s="18" customFormat="1" ht="15.75" customHeight="1"/>
    <row r="983" s="18" customFormat="1" ht="15.75" customHeight="1"/>
    <row r="984" s="18" customFormat="1" ht="15.75" customHeight="1"/>
    <row r="985" s="18" customFormat="1" ht="15.75" customHeight="1"/>
    <row r="986" s="18" customFormat="1" ht="15.75" customHeight="1"/>
    <row r="987" s="18" customFormat="1" ht="15.75" customHeight="1"/>
    <row r="988" s="18" customFormat="1" ht="15.75" customHeight="1"/>
    <row r="989" s="18" customFormat="1" ht="15.75" customHeight="1"/>
    <row r="990" s="18" customFormat="1" ht="15.75" customHeight="1"/>
    <row r="991" s="18" customFormat="1" ht="15.75" customHeight="1"/>
    <row r="992" s="18" customFormat="1" ht="15.75" customHeight="1"/>
    <row r="993" s="18" customFormat="1" ht="15.75" customHeight="1"/>
    <row r="994" s="18" customFormat="1" ht="15.75" customHeight="1"/>
    <row r="995" s="18" customFormat="1" ht="15.75" customHeight="1"/>
    <row r="996" s="18" customFormat="1" ht="15.75" customHeight="1"/>
    <row r="997" s="18" customFormat="1" ht="15.75" customHeight="1"/>
    <row r="998" s="18" customFormat="1" ht="15.75" customHeight="1"/>
    <row r="999" s="18" customFormat="1" ht="15.75" customHeight="1"/>
    <row r="1000" s="18" customFormat="1" ht="15.75" customHeight="1"/>
  </sheetData>
  <mergeCells count="1">
    <mergeCell ref="N5:P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O1000"/>
  <sheetViews>
    <sheetView zoomScale="61" zoomScaleNormal="61" workbookViewId="0">
      <selection activeCell="H6" sqref="H6"/>
    </sheetView>
  </sheetViews>
  <sheetFormatPr defaultColWidth="14.4545454545455" defaultRowHeight="15" customHeight="1"/>
  <cols>
    <col min="1" max="1" width="4" style="18" customWidth="1"/>
    <col min="2" max="2" width="15.8181818181818" style="18" customWidth="1"/>
    <col min="3" max="3" width="19" style="18" customWidth="1"/>
    <col min="4" max="4" width="7.54545454545455" style="18" customWidth="1"/>
    <col min="5" max="5" width="15.2727272727273" style="18" customWidth="1"/>
    <col min="6" max="6" width="15.8181818181818" style="18" customWidth="1"/>
    <col min="7" max="7" width="13.8181818181818" style="18" customWidth="1"/>
    <col min="8" max="8" width="16.2727272727273" style="18" customWidth="1"/>
    <col min="9" max="9" width="13" style="18" customWidth="1"/>
    <col min="10" max="10" width="17.7272727272727" style="18" customWidth="1"/>
    <col min="11" max="11" width="8.72727272727273" style="18" customWidth="1"/>
    <col min="12" max="12" width="14.7272727272727" style="18" customWidth="1"/>
    <col min="13" max="13" width="11.2727272727273" style="18" customWidth="1"/>
    <col min="14" max="15" width="10.2727272727273" style="18" customWidth="1"/>
    <col min="16" max="26" width="8.72727272727273" style="18" customWidth="1"/>
    <col min="27" max="16384" width="14.4545454545455" style="18"/>
  </cols>
  <sheetData>
    <row r="4" s="18" customFormat="1" ht="29" spans="1:10">
      <c r="A4" s="19" t="s">
        <v>3</v>
      </c>
      <c r="B4" s="19" t="s">
        <v>35</v>
      </c>
      <c r="C4" s="19" t="s">
        <v>36</v>
      </c>
      <c r="D4" s="19" t="s">
        <v>21</v>
      </c>
      <c r="E4" s="20" t="s">
        <v>37</v>
      </c>
      <c r="F4" s="20" t="s">
        <v>38</v>
      </c>
      <c r="G4" s="19" t="s">
        <v>39</v>
      </c>
      <c r="H4" s="19" t="s">
        <v>40</v>
      </c>
      <c r="I4" s="19" t="s">
        <v>41</v>
      </c>
      <c r="J4" s="19" t="s">
        <v>42</v>
      </c>
    </row>
    <row r="5" s="18" customFormat="1" ht="14.5" spans="1:10">
      <c r="A5" s="21"/>
      <c r="B5" s="21" t="s">
        <v>43</v>
      </c>
      <c r="C5" s="21" t="s">
        <v>44</v>
      </c>
      <c r="D5" s="21">
        <v>3</v>
      </c>
      <c r="E5" s="22">
        <v>37317</v>
      </c>
      <c r="F5" s="23">
        <v>37319</v>
      </c>
      <c r="G5" s="24">
        <f t="shared" ref="G5:G16" si="0">DATEDIF(E5,F5,"d")</f>
        <v>2</v>
      </c>
      <c r="H5" s="25">
        <f>G5*HLOOKUP(D5,$L$8:$O$9,2,FALSE)</f>
        <v>130</v>
      </c>
      <c r="I5" s="25" cm="1">
        <f t="array" ref="I5">_xlfn.IFS(G5&gt;5,H5*10%,G5&gt;=4,H5*5%,TRUE,0)</f>
        <v>0</v>
      </c>
      <c r="J5" s="25">
        <f t="shared" ref="J5:J16" si="1">H5-I5</f>
        <v>130</v>
      </c>
    </row>
    <row r="6" s="18" customFormat="1" ht="14.5" spans="1:10">
      <c r="A6" s="21"/>
      <c r="B6" s="21" t="s">
        <v>45</v>
      </c>
      <c r="C6" s="21" t="s">
        <v>46</v>
      </c>
      <c r="D6" s="21">
        <v>2</v>
      </c>
      <c r="E6" s="22">
        <v>37321</v>
      </c>
      <c r="F6" s="26">
        <v>37322</v>
      </c>
      <c r="G6" s="24">
        <f t="shared" si="0"/>
        <v>1</v>
      </c>
      <c r="H6" s="25">
        <f t="shared" ref="H5:H16" si="2">G6*HLOOKUP(D6,$L$8:$O$9,2,FALSE)</f>
        <v>85</v>
      </c>
      <c r="I6" s="25" cm="1">
        <f t="array" ref="I6">_xlfn.IFS(G6&gt;5,H6*10%,G6&gt;=4,H6*5%,TRUE,0)</f>
        <v>0</v>
      </c>
      <c r="J6" s="25">
        <f t="shared" si="1"/>
        <v>85</v>
      </c>
    </row>
    <row r="7" s="18" customFormat="1" ht="14.5" spans="1:15">
      <c r="A7" s="21"/>
      <c r="B7" s="21" t="s">
        <v>47</v>
      </c>
      <c r="C7" s="21" t="s">
        <v>48</v>
      </c>
      <c r="D7" s="21">
        <v>1</v>
      </c>
      <c r="E7" s="22">
        <v>37325</v>
      </c>
      <c r="F7" s="26">
        <v>37329</v>
      </c>
      <c r="G7" s="24">
        <f t="shared" si="0"/>
        <v>4</v>
      </c>
      <c r="H7" s="25">
        <f t="shared" si="2"/>
        <v>500</v>
      </c>
      <c r="I7" s="25" cm="1">
        <f t="array" ref="I7">_xlfn.IFS(G7&gt;5,H7*10%,G7&gt;=4,H7*5%,TRUE,0)</f>
        <v>25</v>
      </c>
      <c r="J7" s="25">
        <f t="shared" si="1"/>
        <v>475</v>
      </c>
      <c r="L7" s="31" t="s">
        <v>49</v>
      </c>
      <c r="M7" s="29"/>
      <c r="N7" s="29"/>
      <c r="O7" s="32"/>
    </row>
    <row r="8" s="18" customFormat="1" ht="14.5" spans="1:15">
      <c r="A8" s="21"/>
      <c r="B8" s="21" t="s">
        <v>50</v>
      </c>
      <c r="C8" s="21" t="s">
        <v>51</v>
      </c>
      <c r="D8" s="21">
        <v>2</v>
      </c>
      <c r="E8" s="22">
        <v>37335</v>
      </c>
      <c r="F8" s="26">
        <v>37342</v>
      </c>
      <c r="G8" s="24">
        <f t="shared" si="0"/>
        <v>7</v>
      </c>
      <c r="H8" s="25">
        <f t="shared" si="2"/>
        <v>595</v>
      </c>
      <c r="I8" s="25" cm="1">
        <f t="array" ref="I8">_xlfn.IFS(G8&gt;5,H8*10%,G8&gt;=4,H8*5%,TRUE,0)</f>
        <v>59.5</v>
      </c>
      <c r="J8" s="25">
        <f t="shared" si="1"/>
        <v>535.5</v>
      </c>
      <c r="L8" s="21" t="s">
        <v>52</v>
      </c>
      <c r="M8" s="21">
        <v>1</v>
      </c>
      <c r="N8" s="21">
        <v>2</v>
      </c>
      <c r="O8" s="21">
        <v>3</v>
      </c>
    </row>
    <row r="9" s="18" customFormat="1" ht="14.5" spans="1:15">
      <c r="A9" s="21"/>
      <c r="B9" s="21" t="s">
        <v>53</v>
      </c>
      <c r="C9" s="21" t="s">
        <v>54</v>
      </c>
      <c r="D9" s="21">
        <v>1</v>
      </c>
      <c r="E9" s="22">
        <v>37340</v>
      </c>
      <c r="F9" s="26">
        <v>37347</v>
      </c>
      <c r="G9" s="24">
        <f t="shared" si="0"/>
        <v>7</v>
      </c>
      <c r="H9" s="25">
        <f t="shared" si="2"/>
        <v>875</v>
      </c>
      <c r="I9" s="25" cm="1">
        <f t="array" ref="I9">_xlfn.IFS(G9&gt;5,H9*10%,G9&gt;=4,H9*5%,TRUE,0)</f>
        <v>87.5</v>
      </c>
      <c r="J9" s="25">
        <f t="shared" si="1"/>
        <v>787.5</v>
      </c>
      <c r="L9" s="21" t="s">
        <v>55</v>
      </c>
      <c r="M9" s="25">
        <v>125</v>
      </c>
      <c r="N9" s="25">
        <v>85</v>
      </c>
      <c r="O9" s="25">
        <v>65</v>
      </c>
    </row>
    <row r="10" s="18" customFormat="1" ht="14.5" spans="1:10">
      <c r="A10" s="21"/>
      <c r="B10" s="21" t="s">
        <v>56</v>
      </c>
      <c r="C10" s="21" t="s">
        <v>57</v>
      </c>
      <c r="D10" s="21">
        <v>1</v>
      </c>
      <c r="E10" s="22">
        <v>37347</v>
      </c>
      <c r="F10" s="26">
        <v>37349</v>
      </c>
      <c r="G10" s="24">
        <f t="shared" si="0"/>
        <v>2</v>
      </c>
      <c r="H10" s="25">
        <f t="shared" si="2"/>
        <v>250</v>
      </c>
      <c r="I10" s="25" cm="1">
        <f t="array" ref="I10">_xlfn.IFS(G10&gt;5,H10*10%,G10&gt;=4,H10*5%,TRUE,0)</f>
        <v>0</v>
      </c>
      <c r="J10" s="25">
        <f t="shared" si="1"/>
        <v>250</v>
      </c>
    </row>
    <row r="11" s="18" customFormat="1" ht="14.5" spans="1:10">
      <c r="A11" s="21"/>
      <c r="B11" s="21" t="s">
        <v>58</v>
      </c>
      <c r="C11" s="21" t="s">
        <v>59</v>
      </c>
      <c r="D11" s="21">
        <v>3</v>
      </c>
      <c r="E11" s="22">
        <v>37353</v>
      </c>
      <c r="F11" s="26">
        <v>37356</v>
      </c>
      <c r="G11" s="24">
        <f t="shared" si="0"/>
        <v>3</v>
      </c>
      <c r="H11" s="25">
        <f t="shared" si="2"/>
        <v>195</v>
      </c>
      <c r="I11" s="25" cm="1">
        <f t="array" ref="I11">_xlfn.IFS(G11&gt;5,H11*10%,G11&gt;=4,H11*5%,TRUE,0)</f>
        <v>0</v>
      </c>
      <c r="J11" s="25">
        <f t="shared" si="1"/>
        <v>195</v>
      </c>
    </row>
    <row r="12" s="18" customFormat="1" ht="14.5" spans="1:10">
      <c r="A12" s="21"/>
      <c r="B12" s="21" t="s">
        <v>60</v>
      </c>
      <c r="C12" s="21" t="s">
        <v>48</v>
      </c>
      <c r="D12" s="21">
        <v>1</v>
      </c>
      <c r="E12" s="22">
        <v>37355</v>
      </c>
      <c r="F12" s="26">
        <v>37357</v>
      </c>
      <c r="G12" s="24">
        <f t="shared" si="0"/>
        <v>2</v>
      </c>
      <c r="H12" s="25">
        <f t="shared" si="2"/>
        <v>250</v>
      </c>
      <c r="I12" s="25" cm="1">
        <f t="array" ref="I12">_xlfn.IFS(G12&gt;5,H12*10%,G12&gt;=4,H12*5%,TRUE,0)</f>
        <v>0</v>
      </c>
      <c r="J12" s="25">
        <f t="shared" si="1"/>
        <v>250</v>
      </c>
    </row>
    <row r="13" s="18" customFormat="1" ht="14.5" spans="1:10">
      <c r="A13" s="21"/>
      <c r="B13" s="21" t="s">
        <v>61</v>
      </c>
      <c r="C13" s="27" t="s">
        <v>46</v>
      </c>
      <c r="D13" s="21">
        <v>2</v>
      </c>
      <c r="E13" s="22">
        <v>37358</v>
      </c>
      <c r="F13" s="26">
        <v>37363</v>
      </c>
      <c r="G13" s="24">
        <f t="shared" si="0"/>
        <v>5</v>
      </c>
      <c r="H13" s="25">
        <f t="shared" si="2"/>
        <v>425</v>
      </c>
      <c r="I13" s="25" cm="1">
        <f t="array" ref="I13">_xlfn.IFS(G13&gt;5,H13*10%,G13&gt;=4,H13*5%,TRUE,0)</f>
        <v>21.25</v>
      </c>
      <c r="J13" s="25">
        <f t="shared" si="1"/>
        <v>403.75</v>
      </c>
    </row>
    <row r="14" s="18" customFormat="1" ht="14.5" spans="1:10">
      <c r="A14" s="21"/>
      <c r="B14" s="21" t="s">
        <v>62</v>
      </c>
      <c r="C14" s="21" t="s">
        <v>51</v>
      </c>
      <c r="D14" s="21">
        <v>2</v>
      </c>
      <c r="E14" s="22">
        <v>37372</v>
      </c>
      <c r="F14" s="26">
        <v>37376</v>
      </c>
      <c r="G14" s="24">
        <f t="shared" si="0"/>
        <v>4</v>
      </c>
      <c r="H14" s="25">
        <f t="shared" si="2"/>
        <v>340</v>
      </c>
      <c r="I14" s="25" cm="1">
        <f t="array" ref="I14">_xlfn.IFS(G14&gt;5,H14*10%,G14&gt;=4,H14*5%,TRUE,0)</f>
        <v>17</v>
      </c>
      <c r="J14" s="25">
        <f t="shared" si="1"/>
        <v>323</v>
      </c>
    </row>
    <row r="15" s="18" customFormat="1" ht="14.5" spans="1:10">
      <c r="A15" s="21"/>
      <c r="B15" s="21" t="s">
        <v>63</v>
      </c>
      <c r="C15" s="21" t="s">
        <v>44</v>
      </c>
      <c r="D15" s="21">
        <v>3</v>
      </c>
      <c r="E15" s="22">
        <v>37381</v>
      </c>
      <c r="F15" s="26">
        <v>37382</v>
      </c>
      <c r="G15" s="24">
        <f t="shared" si="0"/>
        <v>1</v>
      </c>
      <c r="H15" s="25">
        <f t="shared" si="2"/>
        <v>65</v>
      </c>
      <c r="I15" s="25" cm="1">
        <f t="array" ref="I15">_xlfn.IFS(G15&gt;5,H15*10%,G15&gt;=4,H15*5%,TRUE,0)</f>
        <v>0</v>
      </c>
      <c r="J15" s="25">
        <f t="shared" si="1"/>
        <v>65</v>
      </c>
    </row>
    <row r="16" s="18" customFormat="1" ht="14.5" spans="1:10">
      <c r="A16" s="21"/>
      <c r="B16" s="21" t="s">
        <v>64</v>
      </c>
      <c r="C16" s="21" t="s">
        <v>57</v>
      </c>
      <c r="D16" s="21">
        <v>1</v>
      </c>
      <c r="E16" s="22">
        <v>37386</v>
      </c>
      <c r="F16" s="26">
        <v>37387</v>
      </c>
      <c r="G16" s="24">
        <f t="shared" si="0"/>
        <v>1</v>
      </c>
      <c r="H16" s="25">
        <f t="shared" si="2"/>
        <v>125</v>
      </c>
      <c r="I16" s="25" cm="1">
        <f t="array" ref="I16">_xlfn.IFS(G16&gt;5,H16*10%,G16&gt;=4,H16*5%,TRUE,0)</f>
        <v>0</v>
      </c>
      <c r="J16" s="25">
        <f t="shared" si="1"/>
        <v>125</v>
      </c>
    </row>
    <row r="17" s="18" customFormat="1" ht="14.5" spans="1:10">
      <c r="A17" s="21"/>
      <c r="B17" s="28" t="s">
        <v>65</v>
      </c>
      <c r="C17" s="29"/>
      <c r="D17" s="29"/>
      <c r="E17" s="29"/>
      <c r="F17" s="29"/>
      <c r="G17" s="29"/>
      <c r="H17" s="29"/>
      <c r="I17" s="32"/>
      <c r="J17" s="25">
        <f>SUM(J5:J16)</f>
        <v>3624.75</v>
      </c>
    </row>
    <row r="19" s="18" customFormat="1" ht="14.5" spans="1:2">
      <c r="A19" s="18">
        <v>1</v>
      </c>
      <c r="B19" s="18" t="s">
        <v>66</v>
      </c>
    </row>
    <row r="20" s="18" customFormat="1" ht="14.5" spans="1:2">
      <c r="A20" s="30"/>
      <c r="B20" s="18" t="s">
        <v>67</v>
      </c>
    </row>
    <row r="21" s="18" customFormat="1" ht="15.75" customHeight="1" spans="2:2">
      <c r="B21" s="18" t="s">
        <v>68</v>
      </c>
    </row>
    <row r="22" s="18" customFormat="1" ht="15.75" customHeight="1" spans="2:2">
      <c r="B22" s="18" t="s">
        <v>69</v>
      </c>
    </row>
    <row r="23" s="18" customFormat="1" ht="15.75" customHeight="1" spans="2:2">
      <c r="B23" s="18" t="s">
        <v>70</v>
      </c>
    </row>
    <row r="24" s="18" customFormat="1" ht="15.75" customHeight="1" spans="1:2">
      <c r="A24" s="18">
        <v>3</v>
      </c>
      <c r="B24" s="18" t="s">
        <v>71</v>
      </c>
    </row>
    <row r="25" s="18" customFormat="1" ht="15.75" customHeight="1" spans="1:2">
      <c r="A25" s="18">
        <v>4</v>
      </c>
      <c r="B25" s="18" t="s">
        <v>72</v>
      </c>
    </row>
    <row r="26" s="18" customFormat="1" ht="15.75" customHeight="1"/>
    <row r="27" s="18" customFormat="1" ht="15.75" customHeight="1"/>
    <row r="28" s="18" customFormat="1" ht="15.75" customHeight="1"/>
    <row r="29" s="18" customFormat="1" ht="15.75" customHeight="1"/>
    <row r="30" s="18" customFormat="1" ht="15.75" customHeight="1"/>
    <row r="31" s="18" customFormat="1" ht="15.75" customHeight="1"/>
    <row r="32" s="18" customFormat="1" ht="15.75" customHeight="1"/>
    <row r="33" s="18" customFormat="1" ht="15.75" customHeight="1"/>
    <row r="34" s="18" customFormat="1" ht="15.75" customHeight="1"/>
    <row r="35" s="18" customFormat="1" ht="15.75" customHeight="1"/>
    <row r="36" s="18" customFormat="1" ht="15.75" customHeight="1"/>
    <row r="37" s="18" customFormat="1" ht="15.75" customHeight="1"/>
    <row r="38" s="18" customFormat="1" ht="15.75" customHeight="1"/>
    <row r="39" s="18" customFormat="1" ht="15.75" customHeight="1"/>
    <row r="40" s="18" customFormat="1" ht="15.75" customHeight="1"/>
    <row r="41" s="18" customFormat="1" ht="15.75" customHeight="1"/>
    <row r="42" s="18" customFormat="1" ht="15.75" customHeight="1"/>
    <row r="43" s="18" customFormat="1" ht="15.75" customHeight="1"/>
    <row r="44" s="18" customFormat="1" ht="15.75" customHeight="1"/>
    <row r="45" s="18" customFormat="1" ht="15.75" customHeight="1"/>
    <row r="46" s="18" customFormat="1" ht="15.75" customHeight="1"/>
    <row r="47" s="18" customFormat="1" ht="15.75" customHeight="1"/>
    <row r="48" s="18" customFormat="1" ht="15.75" customHeight="1"/>
    <row r="49" s="18" customFormat="1" ht="15.75" customHeight="1"/>
    <row r="50" s="18" customFormat="1" ht="15.75" customHeight="1"/>
    <row r="51" s="18" customFormat="1" ht="15.75" customHeight="1"/>
    <row r="52" s="18" customFormat="1" ht="15.75" customHeight="1"/>
    <row r="53" s="18" customFormat="1" ht="15.75" customHeight="1"/>
    <row r="54" s="18" customFormat="1" ht="15.75" customHeight="1"/>
    <row r="55" s="18" customFormat="1" ht="15.75" customHeight="1"/>
    <row r="56" s="18" customFormat="1" ht="15.75" customHeight="1"/>
    <row r="57" s="18" customFormat="1" ht="15.75" customHeight="1"/>
    <row r="58" s="18" customFormat="1" ht="15.75" customHeight="1"/>
    <row r="59" s="18" customFormat="1" ht="15.75" customHeight="1"/>
    <row r="60" s="18" customFormat="1" ht="15.75" customHeight="1"/>
    <row r="61" s="18" customFormat="1" ht="15.75" customHeight="1"/>
    <row r="62" s="18" customFormat="1" ht="15.75" customHeight="1"/>
    <row r="63" s="18" customFormat="1" ht="15.75" customHeight="1"/>
    <row r="64" s="18" customFormat="1" ht="15.75" customHeight="1"/>
    <row r="65" s="18" customFormat="1" ht="15.75" customHeight="1"/>
    <row r="66" s="18" customFormat="1" ht="15.75" customHeight="1"/>
    <row r="67" s="18" customFormat="1" ht="15.75" customHeight="1"/>
    <row r="68" s="18" customFormat="1" ht="15.75" customHeight="1"/>
    <row r="69" s="18" customFormat="1" ht="15.75" customHeight="1"/>
    <row r="70" s="18" customFormat="1" ht="15.75" customHeight="1"/>
    <row r="71" s="18" customFormat="1" ht="15.75" customHeight="1"/>
    <row r="72" s="18" customFormat="1" ht="15.75" customHeight="1"/>
    <row r="73" s="18" customFormat="1" ht="15.75" customHeight="1"/>
    <row r="74" s="18" customFormat="1" ht="15.75" customHeight="1"/>
    <row r="75" s="18" customFormat="1" ht="15.75" customHeight="1"/>
    <row r="76" s="18" customFormat="1" ht="15.75" customHeight="1"/>
    <row r="77" s="18" customFormat="1" ht="15.75" customHeight="1"/>
    <row r="78" s="18" customFormat="1" ht="15.75" customHeight="1"/>
    <row r="79" s="18" customFormat="1" ht="15.75" customHeight="1"/>
    <row r="80" s="18" customFormat="1" ht="15.75" customHeight="1"/>
    <row r="81" s="18" customFormat="1" ht="15.75" customHeight="1"/>
    <row r="82" s="18" customFormat="1" ht="15.75" customHeight="1"/>
    <row r="83" s="18" customFormat="1" ht="15.75" customHeight="1"/>
    <row r="84" s="18" customFormat="1" ht="15.75" customHeight="1"/>
    <row r="85" s="18" customFormat="1" ht="15.75" customHeight="1"/>
    <row r="86" s="18" customFormat="1" ht="15.75" customHeight="1"/>
    <row r="87" s="18" customFormat="1" ht="15.75" customHeight="1"/>
    <row r="88" s="18" customFormat="1" ht="15.75" customHeight="1"/>
    <row r="89" s="18" customFormat="1" ht="15.75" customHeight="1"/>
    <row r="90" s="18" customFormat="1" ht="15.75" customHeight="1"/>
    <row r="91" s="18" customFormat="1" ht="15.75" customHeight="1"/>
    <row r="92" s="18" customFormat="1" ht="15.75" customHeight="1"/>
    <row r="93" s="18" customFormat="1" ht="15.75" customHeight="1"/>
    <row r="94" s="18" customFormat="1" ht="15.75" customHeight="1"/>
    <row r="95" s="18" customFormat="1" ht="15.75" customHeight="1"/>
    <row r="96" s="18" customFormat="1" ht="15.75" customHeight="1"/>
    <row r="97" s="18" customFormat="1" ht="15.75" customHeight="1"/>
    <row r="98" s="18" customFormat="1" ht="15.75" customHeight="1"/>
    <row r="99" s="18" customFormat="1" ht="15.75" customHeight="1"/>
    <row r="100" s="18" customFormat="1" ht="15.75" customHeight="1"/>
    <row r="101" s="18" customFormat="1" ht="15.75" customHeight="1"/>
    <row r="102" s="18" customFormat="1" ht="15.75" customHeight="1"/>
    <row r="103" s="18" customFormat="1" ht="15.75" customHeight="1"/>
    <row r="104" s="18" customFormat="1" ht="15.75" customHeight="1"/>
    <row r="105" s="18" customFormat="1" ht="15.75" customHeight="1"/>
    <row r="106" s="18" customFormat="1" ht="15.75" customHeight="1"/>
    <row r="107" s="18" customFormat="1" ht="15.75" customHeight="1"/>
    <row r="108" s="18" customFormat="1" ht="15.75" customHeight="1"/>
    <row r="109" s="18" customFormat="1" ht="15.75" customHeight="1"/>
    <row r="110" s="18" customFormat="1" ht="15.75" customHeight="1"/>
    <row r="111" s="18" customFormat="1" ht="15.75" customHeight="1"/>
    <row r="112" s="18" customFormat="1" ht="15.75" customHeight="1"/>
    <row r="113" s="18" customFormat="1" ht="15.75" customHeight="1"/>
    <row r="114" s="18" customFormat="1" ht="15.75" customHeight="1"/>
    <row r="115" s="18" customFormat="1" ht="15.75" customHeight="1"/>
    <row r="116" s="18" customFormat="1" ht="15.75" customHeight="1"/>
    <row r="117" s="18" customFormat="1" ht="15.75" customHeight="1"/>
    <row r="118" s="18" customFormat="1" ht="15.75" customHeight="1"/>
    <row r="119" s="18" customFormat="1" ht="15.75" customHeight="1"/>
    <row r="120" s="18" customFormat="1" ht="15.75" customHeight="1"/>
    <row r="121" s="18" customFormat="1" ht="15.75" customHeight="1"/>
    <row r="122" s="18" customFormat="1" ht="15.75" customHeight="1"/>
    <row r="123" s="18" customFormat="1" ht="15.75" customHeight="1"/>
    <row r="124" s="18" customFormat="1" ht="15.75" customHeight="1"/>
    <row r="125" s="18" customFormat="1" ht="15.75" customHeight="1"/>
    <row r="126" s="18" customFormat="1" ht="15.75" customHeight="1"/>
    <row r="127" s="18" customFormat="1" ht="15.75" customHeight="1"/>
    <row r="128" s="18" customFormat="1" ht="15.75" customHeight="1"/>
    <row r="129" s="18" customFormat="1" ht="15.75" customHeight="1"/>
    <row r="130" s="18" customFormat="1" ht="15.75" customHeight="1"/>
    <row r="131" s="18" customFormat="1" ht="15.75" customHeight="1"/>
    <row r="132" s="18" customFormat="1" ht="15.75" customHeight="1"/>
    <row r="133" s="18" customFormat="1" ht="15.75" customHeight="1"/>
    <row r="134" s="18" customFormat="1" ht="15.75" customHeight="1"/>
    <row r="135" s="18" customFormat="1" ht="15.75" customHeight="1"/>
    <row r="136" s="18" customFormat="1" ht="15.75" customHeight="1"/>
    <row r="137" s="18" customFormat="1" ht="15.75" customHeight="1"/>
    <row r="138" s="18" customFormat="1" ht="15.75" customHeight="1"/>
    <row r="139" s="18" customFormat="1" ht="15.75" customHeight="1"/>
    <row r="140" s="18" customFormat="1" ht="15.75" customHeight="1"/>
    <row r="141" s="18" customFormat="1" ht="15.75" customHeight="1"/>
    <row r="142" s="18" customFormat="1" ht="15.75" customHeight="1"/>
    <row r="143" s="18" customFormat="1" ht="15.75" customHeight="1"/>
    <row r="144" s="18" customFormat="1" ht="15.75" customHeight="1"/>
    <row r="145" s="18" customFormat="1" ht="15.75" customHeight="1"/>
    <row r="146" s="18" customFormat="1" ht="15.75" customHeight="1"/>
    <row r="147" s="18" customFormat="1" ht="15.75" customHeight="1"/>
    <row r="148" s="18" customFormat="1" ht="15.75" customHeight="1"/>
    <row r="149" s="18" customFormat="1" ht="15.75" customHeight="1"/>
    <row r="150" s="18" customFormat="1" ht="15.75" customHeight="1"/>
    <row r="151" s="18" customFormat="1" ht="15.75" customHeight="1"/>
    <row r="152" s="18" customFormat="1" ht="15.75" customHeight="1"/>
    <row r="153" s="18" customFormat="1" ht="15.75" customHeight="1"/>
    <row r="154" s="18" customFormat="1" ht="15.75" customHeight="1"/>
    <row r="155" s="18" customFormat="1" ht="15.75" customHeight="1"/>
    <row r="156" s="18" customFormat="1" ht="15.75" customHeight="1"/>
    <row r="157" s="18" customFormat="1" ht="15.75" customHeight="1"/>
    <row r="158" s="18" customFormat="1" ht="15.75" customHeight="1"/>
    <row r="159" s="18" customFormat="1" ht="15.75" customHeight="1"/>
    <row r="160" s="18" customFormat="1" ht="15.75" customHeight="1"/>
    <row r="161" s="18" customFormat="1" ht="15.75" customHeight="1"/>
    <row r="162" s="18" customFormat="1" ht="15.75" customHeight="1"/>
    <row r="163" s="18" customFormat="1" ht="15.75" customHeight="1"/>
    <row r="164" s="18" customFormat="1" ht="15.75" customHeight="1"/>
    <row r="165" s="18" customFormat="1" ht="15.75" customHeight="1"/>
    <row r="166" s="18" customFormat="1" ht="15.75" customHeight="1"/>
    <row r="167" s="18" customFormat="1" ht="15.75" customHeight="1"/>
    <row r="168" s="18" customFormat="1" ht="15.75" customHeight="1"/>
    <row r="169" s="18" customFormat="1" ht="15.75" customHeight="1"/>
    <row r="170" s="18" customFormat="1" ht="15.75" customHeight="1"/>
    <row r="171" s="18" customFormat="1" ht="15.75" customHeight="1"/>
    <row r="172" s="18" customFormat="1" ht="15.75" customHeight="1"/>
    <row r="173" s="18" customFormat="1" ht="15.75" customHeight="1"/>
    <row r="174" s="18" customFormat="1" ht="15.75" customHeight="1"/>
    <row r="175" s="18" customFormat="1" ht="15.75" customHeight="1"/>
    <row r="176" s="18" customFormat="1" ht="15.75" customHeight="1"/>
    <row r="177" s="18" customFormat="1" ht="15.75" customHeight="1"/>
    <row r="178" s="18" customFormat="1" ht="15.75" customHeight="1"/>
    <row r="179" s="18" customFormat="1" ht="15.75" customHeight="1"/>
    <row r="180" s="18" customFormat="1" ht="15.75" customHeight="1"/>
    <row r="181" s="18" customFormat="1" ht="15.75" customHeight="1"/>
    <row r="182" s="18" customFormat="1" ht="15.75" customHeight="1"/>
    <row r="183" s="18" customFormat="1" ht="15.75" customHeight="1"/>
    <row r="184" s="18" customFormat="1" ht="15.75" customHeight="1"/>
    <row r="185" s="18" customFormat="1" ht="15.75" customHeight="1"/>
    <row r="186" s="18" customFormat="1" ht="15.75" customHeight="1"/>
    <row r="187" s="18" customFormat="1" ht="15.75" customHeight="1"/>
    <row r="188" s="18" customFormat="1" ht="15.75" customHeight="1"/>
    <row r="189" s="18" customFormat="1" ht="15.75" customHeight="1"/>
    <row r="190" s="18" customFormat="1" ht="15.75" customHeight="1"/>
    <row r="191" s="18" customFormat="1" ht="15.75" customHeight="1"/>
    <row r="192" s="18" customFormat="1" ht="15.75" customHeight="1"/>
    <row r="193" s="18" customFormat="1" ht="15.75" customHeight="1"/>
    <row r="194" s="18" customFormat="1" ht="15.75" customHeight="1"/>
    <row r="195" s="18" customFormat="1" ht="15.75" customHeight="1"/>
    <row r="196" s="18" customFormat="1" ht="15.75" customHeight="1"/>
    <row r="197" s="18" customFormat="1" ht="15.75" customHeight="1"/>
    <row r="198" s="18" customFormat="1" ht="15.75" customHeight="1"/>
    <row r="199" s="18" customFormat="1" ht="15.75" customHeight="1"/>
    <row r="200" s="18" customFormat="1" ht="15.75" customHeight="1"/>
    <row r="201" s="18" customFormat="1" ht="15.75" customHeight="1"/>
    <row r="202" s="18" customFormat="1" ht="15.75" customHeight="1"/>
    <row r="203" s="18" customFormat="1" ht="15.75" customHeight="1"/>
    <row r="204" s="18" customFormat="1" ht="15.75" customHeight="1"/>
    <row r="205" s="18" customFormat="1" ht="15.75" customHeight="1"/>
    <row r="206" s="18" customFormat="1" ht="15.75" customHeight="1"/>
    <row r="207" s="18" customFormat="1" ht="15.75" customHeight="1"/>
    <row r="208" s="18" customFormat="1" ht="15.75" customHeight="1"/>
    <row r="209" s="18" customFormat="1" ht="15.75" customHeight="1"/>
    <row r="210" s="18" customFormat="1" ht="15.75" customHeight="1"/>
    <row r="211" s="18" customFormat="1" ht="15.75" customHeight="1"/>
    <row r="212" s="18" customFormat="1" ht="15.75" customHeight="1"/>
    <row r="213" s="18" customFormat="1" ht="15.75" customHeight="1"/>
    <row r="214" s="18" customFormat="1" ht="15.75" customHeight="1"/>
    <row r="215" s="18" customFormat="1" ht="15.75" customHeight="1"/>
    <row r="216" s="18" customFormat="1" ht="15.75" customHeight="1"/>
    <row r="217" s="18" customFormat="1" ht="15.75" customHeight="1"/>
    <row r="218" s="18" customFormat="1" ht="15.75" customHeight="1"/>
    <row r="219" s="18" customFormat="1" ht="15.75" customHeight="1"/>
    <row r="220" s="18" customFormat="1" ht="15.75" customHeight="1"/>
    <row r="221" s="18" customFormat="1" ht="15.75" customHeight="1"/>
    <row r="222" s="18" customFormat="1" ht="15.75" customHeight="1"/>
    <row r="223" s="18" customFormat="1" ht="15.75" customHeight="1"/>
    <row r="224" s="18" customFormat="1" ht="15.75" customHeight="1"/>
    <row r="225" s="18" customFormat="1" ht="15.75" customHeight="1"/>
    <row r="226" s="18" customFormat="1" ht="15.75" customHeight="1"/>
    <row r="227" s="18" customFormat="1" ht="15.75" customHeight="1"/>
    <row r="228" s="18" customFormat="1" ht="15.75" customHeight="1"/>
    <row r="229" s="18" customFormat="1" ht="15.75" customHeight="1"/>
    <row r="230" s="18" customFormat="1" ht="15.75" customHeight="1"/>
    <row r="231" s="18" customFormat="1" ht="15.75" customHeight="1"/>
    <row r="232" s="18" customFormat="1" ht="15.75" customHeight="1"/>
    <row r="233" s="18" customFormat="1" ht="15.75" customHeight="1"/>
    <row r="234" s="18" customFormat="1" ht="15.75" customHeight="1"/>
    <row r="235" s="18" customFormat="1" ht="15.75" customHeight="1"/>
    <row r="236" s="18" customFormat="1" ht="15.75" customHeight="1"/>
    <row r="237" s="18" customFormat="1" ht="15.75" customHeight="1"/>
    <row r="238" s="18" customFormat="1" ht="15.75" customHeight="1"/>
    <row r="239" s="18" customFormat="1" ht="15.75" customHeight="1"/>
    <row r="240" s="18" customFormat="1" ht="15.75" customHeight="1"/>
    <row r="241" s="18" customFormat="1" ht="15.75" customHeight="1"/>
    <row r="242" s="18" customFormat="1" ht="15.75" customHeight="1"/>
    <row r="243" s="18" customFormat="1" ht="15.75" customHeight="1"/>
    <row r="244" s="18" customFormat="1" ht="15.75" customHeight="1"/>
    <row r="245" s="18" customFormat="1" ht="15.75" customHeight="1"/>
    <row r="246" s="18" customFormat="1" ht="15.75" customHeight="1"/>
    <row r="247" s="18" customFormat="1" ht="15.75" customHeight="1"/>
    <row r="248" s="18" customFormat="1" ht="15.75" customHeight="1"/>
    <row r="249" s="18" customFormat="1" ht="15.75" customHeight="1"/>
    <row r="250" s="18" customFormat="1" ht="15.75" customHeight="1"/>
    <row r="251" s="18" customFormat="1" ht="15.75" customHeight="1"/>
    <row r="252" s="18" customFormat="1" ht="15.75" customHeight="1"/>
    <row r="253" s="18" customFormat="1" ht="15.75" customHeight="1"/>
    <row r="254" s="18" customFormat="1" ht="15.75" customHeight="1"/>
    <row r="255" s="18" customFormat="1" ht="15.75" customHeight="1"/>
    <row r="256" s="18" customFormat="1" ht="15.75" customHeight="1"/>
    <row r="257" s="18" customFormat="1" ht="15.75" customHeight="1"/>
    <row r="258" s="18" customFormat="1" ht="15.75" customHeight="1"/>
    <row r="259" s="18" customFormat="1" ht="15.75" customHeight="1"/>
    <row r="260" s="18" customFormat="1" ht="15.75" customHeight="1"/>
    <row r="261" s="18" customFormat="1" ht="15.75" customHeight="1"/>
    <row r="262" s="18" customFormat="1" ht="15.75" customHeight="1"/>
    <row r="263" s="18" customFormat="1" ht="15.75" customHeight="1"/>
    <row r="264" s="18" customFormat="1" ht="15.75" customHeight="1"/>
    <row r="265" s="18" customFormat="1" ht="15.75" customHeight="1"/>
    <row r="266" s="18" customFormat="1" ht="15.75" customHeight="1"/>
    <row r="267" s="18" customFormat="1" ht="15.75" customHeight="1"/>
    <row r="268" s="18" customFormat="1" ht="15.75" customHeight="1"/>
    <row r="269" s="18" customFormat="1" ht="15.75" customHeight="1"/>
    <row r="270" s="18" customFormat="1" ht="15.75" customHeight="1"/>
    <row r="271" s="18" customFormat="1" ht="15.75" customHeight="1"/>
    <row r="272" s="18" customFormat="1" ht="15.75" customHeight="1"/>
    <row r="273" s="18" customFormat="1" ht="15.75" customHeight="1"/>
    <row r="274" s="18" customFormat="1" ht="15.75" customHeight="1"/>
    <row r="275" s="18" customFormat="1" ht="15.75" customHeight="1"/>
    <row r="276" s="18" customFormat="1" ht="15.75" customHeight="1"/>
    <row r="277" s="18" customFormat="1" ht="15.75" customHeight="1"/>
    <row r="278" s="18" customFormat="1" ht="15.75" customHeight="1"/>
    <row r="279" s="18" customFormat="1" ht="15.75" customHeight="1"/>
    <row r="280" s="18" customFormat="1" ht="15.75" customHeight="1"/>
    <row r="281" s="18" customFormat="1" ht="15.75" customHeight="1"/>
    <row r="282" s="18" customFormat="1" ht="15.75" customHeight="1"/>
    <row r="283" s="18" customFormat="1" ht="15.75" customHeight="1"/>
    <row r="284" s="18" customFormat="1" ht="15.75" customHeight="1"/>
    <row r="285" s="18" customFormat="1" ht="15.75" customHeight="1"/>
    <row r="286" s="18" customFormat="1" ht="15.75" customHeight="1"/>
    <row r="287" s="18" customFormat="1" ht="15.75" customHeight="1"/>
    <row r="288" s="18" customFormat="1" ht="15.75" customHeight="1"/>
    <row r="289" s="18" customFormat="1" ht="15.75" customHeight="1"/>
    <row r="290" s="18" customFormat="1" ht="15.75" customHeight="1"/>
    <row r="291" s="18" customFormat="1" ht="15.75" customHeight="1"/>
    <row r="292" s="18" customFormat="1" ht="15.75" customHeight="1"/>
    <row r="293" s="18" customFormat="1" ht="15.75" customHeight="1"/>
    <row r="294" s="18" customFormat="1" ht="15.75" customHeight="1"/>
    <row r="295" s="18" customFormat="1" ht="15.75" customHeight="1"/>
    <row r="296" s="18" customFormat="1" ht="15.75" customHeight="1"/>
    <row r="297" s="18" customFormat="1" ht="15.75" customHeight="1"/>
    <row r="298" s="18" customFormat="1" ht="15.75" customHeight="1"/>
    <row r="299" s="18" customFormat="1" ht="15.75" customHeight="1"/>
    <row r="300" s="18" customFormat="1" ht="15.75" customHeight="1"/>
    <row r="301" s="18" customFormat="1" ht="15.75" customHeight="1"/>
    <row r="302" s="18" customFormat="1" ht="15.75" customHeight="1"/>
    <row r="303" s="18" customFormat="1" ht="15.75" customHeight="1"/>
    <row r="304" s="18" customFormat="1" ht="15.75" customHeight="1"/>
    <row r="305" s="18" customFormat="1" ht="15.75" customHeight="1"/>
    <row r="306" s="18" customFormat="1" ht="15.75" customHeight="1"/>
    <row r="307" s="18" customFormat="1" ht="15.75" customHeight="1"/>
    <row r="308" s="18" customFormat="1" ht="15.75" customHeight="1"/>
    <row r="309" s="18" customFormat="1" ht="15.75" customHeight="1"/>
    <row r="310" s="18" customFormat="1" ht="15.75" customHeight="1"/>
    <row r="311" s="18" customFormat="1" ht="15.75" customHeight="1"/>
    <row r="312" s="18" customFormat="1" ht="15.75" customHeight="1"/>
    <row r="313" s="18" customFormat="1" ht="15.75" customHeight="1"/>
    <row r="314" s="18" customFormat="1" ht="15.75" customHeight="1"/>
    <row r="315" s="18" customFormat="1" ht="15.75" customHeight="1"/>
    <row r="316" s="18" customFormat="1" ht="15.75" customHeight="1"/>
    <row r="317" s="18" customFormat="1" ht="15.75" customHeight="1"/>
    <row r="318" s="18" customFormat="1" ht="15.75" customHeight="1"/>
    <row r="319" s="18" customFormat="1" ht="15.75" customHeight="1"/>
    <row r="320" s="18" customFormat="1" ht="15.75" customHeight="1"/>
    <row r="321" s="18" customFormat="1" ht="15.75" customHeight="1"/>
    <row r="322" s="18" customFormat="1" ht="15.75" customHeight="1"/>
    <row r="323" s="18" customFormat="1" ht="15.75" customHeight="1"/>
    <row r="324" s="18" customFormat="1" ht="15.75" customHeight="1"/>
    <row r="325" s="18" customFormat="1" ht="15.75" customHeight="1"/>
    <row r="326" s="18" customFormat="1" ht="15.75" customHeight="1"/>
    <row r="327" s="18" customFormat="1" ht="15.75" customHeight="1"/>
    <row r="328" s="18" customFormat="1" ht="15.75" customHeight="1"/>
    <row r="329" s="18" customFormat="1" ht="15.75" customHeight="1"/>
    <row r="330" s="18" customFormat="1" ht="15.75" customHeight="1"/>
    <row r="331" s="18" customFormat="1" ht="15.75" customHeight="1"/>
    <row r="332" s="18" customFormat="1" ht="15.75" customHeight="1"/>
    <row r="333" s="18" customFormat="1" ht="15.75" customHeight="1"/>
    <row r="334" s="18" customFormat="1" ht="15.75" customHeight="1"/>
    <row r="335" s="18" customFormat="1" ht="15.75" customHeight="1"/>
    <row r="336" s="18" customFormat="1" ht="15.75" customHeight="1"/>
    <row r="337" s="18" customFormat="1" ht="15.75" customHeight="1"/>
    <row r="338" s="18" customFormat="1" ht="15.75" customHeight="1"/>
    <row r="339" s="18" customFormat="1" ht="15.75" customHeight="1"/>
    <row r="340" s="18" customFormat="1" ht="15.75" customHeight="1"/>
    <row r="341" s="18" customFormat="1" ht="15.75" customHeight="1"/>
    <row r="342" s="18" customFormat="1" ht="15.75" customHeight="1"/>
    <row r="343" s="18" customFormat="1" ht="15.75" customHeight="1"/>
    <row r="344" s="18" customFormat="1" ht="15.75" customHeight="1"/>
    <row r="345" s="18" customFormat="1" ht="15.75" customHeight="1"/>
    <row r="346" s="18" customFormat="1" ht="15.75" customHeight="1"/>
    <row r="347" s="18" customFormat="1" ht="15.75" customHeight="1"/>
    <row r="348" s="18" customFormat="1" ht="15.75" customHeight="1"/>
    <row r="349" s="18" customFormat="1" ht="15.75" customHeight="1"/>
    <row r="350" s="18" customFormat="1" ht="15.75" customHeight="1"/>
    <row r="351" s="18" customFormat="1" ht="15.75" customHeight="1"/>
    <row r="352" s="18" customFormat="1" ht="15.75" customHeight="1"/>
    <row r="353" s="18" customFormat="1" ht="15.75" customHeight="1"/>
    <row r="354" s="18" customFormat="1" ht="15.75" customHeight="1"/>
    <row r="355" s="18" customFormat="1" ht="15.75" customHeight="1"/>
    <row r="356" s="18" customFormat="1" ht="15.75" customHeight="1"/>
    <row r="357" s="18" customFormat="1" ht="15.75" customHeight="1"/>
    <row r="358" s="18" customFormat="1" ht="15.75" customHeight="1"/>
    <row r="359" s="18" customFormat="1" ht="15.75" customHeight="1"/>
    <row r="360" s="18" customFormat="1" ht="15.75" customHeight="1"/>
    <row r="361" s="18" customFormat="1" ht="15.75" customHeight="1"/>
    <row r="362" s="18" customFormat="1" ht="15.75" customHeight="1"/>
    <row r="363" s="18" customFormat="1" ht="15.75" customHeight="1"/>
    <row r="364" s="18" customFormat="1" ht="15.75" customHeight="1"/>
    <row r="365" s="18" customFormat="1" ht="15.75" customHeight="1"/>
    <row r="366" s="18" customFormat="1" ht="15.75" customHeight="1"/>
    <row r="367" s="18" customFormat="1" ht="15.75" customHeight="1"/>
    <row r="368" s="18" customFormat="1" ht="15.75" customHeight="1"/>
    <row r="369" s="18" customFormat="1" ht="15.75" customHeight="1"/>
    <row r="370" s="18" customFormat="1" ht="15.75" customHeight="1"/>
    <row r="371" s="18" customFormat="1" ht="15.75" customHeight="1"/>
    <row r="372" s="18" customFormat="1" ht="15.75" customHeight="1"/>
    <row r="373" s="18" customFormat="1" ht="15.75" customHeight="1"/>
    <row r="374" s="18" customFormat="1" ht="15.75" customHeight="1"/>
    <row r="375" s="18" customFormat="1" ht="15.75" customHeight="1"/>
    <row r="376" s="18" customFormat="1" ht="15.75" customHeight="1"/>
    <row r="377" s="18" customFormat="1" ht="15.75" customHeight="1"/>
    <row r="378" s="18" customFormat="1" ht="15.75" customHeight="1"/>
    <row r="379" s="18" customFormat="1" ht="15.75" customHeight="1"/>
    <row r="380" s="18" customFormat="1" ht="15.75" customHeight="1"/>
    <row r="381" s="18" customFormat="1" ht="15.75" customHeight="1"/>
    <row r="382" s="18" customFormat="1" ht="15.75" customHeight="1"/>
    <row r="383" s="18" customFormat="1" ht="15.75" customHeight="1"/>
    <row r="384" s="18" customFormat="1" ht="15.75" customHeight="1"/>
    <row r="385" s="18" customFormat="1" ht="15.75" customHeight="1"/>
    <row r="386" s="18" customFormat="1" ht="15.75" customHeight="1"/>
    <row r="387" s="18" customFormat="1" ht="15.75" customHeight="1"/>
    <row r="388" s="18" customFormat="1" ht="15.75" customHeight="1"/>
    <row r="389" s="18" customFormat="1" ht="15.75" customHeight="1"/>
    <row r="390" s="18" customFormat="1" ht="15.75" customHeight="1"/>
    <row r="391" s="18" customFormat="1" ht="15.75" customHeight="1"/>
    <row r="392" s="18" customFormat="1" ht="15.75" customHeight="1"/>
    <row r="393" s="18" customFormat="1" ht="15.75" customHeight="1"/>
    <row r="394" s="18" customFormat="1" ht="15.75" customHeight="1"/>
    <row r="395" s="18" customFormat="1" ht="15.75" customHeight="1"/>
    <row r="396" s="18" customFormat="1" ht="15.75" customHeight="1"/>
    <row r="397" s="18" customFormat="1" ht="15.75" customHeight="1"/>
    <row r="398" s="18" customFormat="1" ht="15.75" customHeight="1"/>
    <row r="399" s="18" customFormat="1" ht="15.75" customHeight="1"/>
    <row r="400" s="18" customFormat="1" ht="15.75" customHeight="1"/>
    <row r="401" s="18" customFormat="1" ht="15.75" customHeight="1"/>
    <row r="402" s="18" customFormat="1" ht="15.75" customHeight="1"/>
    <row r="403" s="18" customFormat="1" ht="15.75" customHeight="1"/>
    <row r="404" s="18" customFormat="1" ht="15.75" customHeight="1"/>
    <row r="405" s="18" customFormat="1" ht="15.75" customHeight="1"/>
    <row r="406" s="18" customFormat="1" ht="15.75" customHeight="1"/>
    <row r="407" s="18" customFormat="1" ht="15.75" customHeight="1"/>
    <row r="408" s="18" customFormat="1" ht="15.75" customHeight="1"/>
    <row r="409" s="18" customFormat="1" ht="15.75" customHeight="1"/>
    <row r="410" s="18" customFormat="1" ht="15.75" customHeight="1"/>
    <row r="411" s="18" customFormat="1" ht="15.75" customHeight="1"/>
    <row r="412" s="18" customFormat="1" ht="15.75" customHeight="1"/>
    <row r="413" s="18" customFormat="1" ht="15.75" customHeight="1"/>
    <row r="414" s="18" customFormat="1" ht="15.75" customHeight="1"/>
    <row r="415" s="18" customFormat="1" ht="15.75" customHeight="1"/>
    <row r="416" s="18" customFormat="1" ht="15.75" customHeight="1"/>
    <row r="417" s="18" customFormat="1" ht="15.75" customHeight="1"/>
    <row r="418" s="18" customFormat="1" ht="15.75" customHeight="1"/>
    <row r="419" s="18" customFormat="1" ht="15.75" customHeight="1"/>
    <row r="420" s="18" customFormat="1" ht="15.75" customHeight="1"/>
    <row r="421" s="18" customFormat="1" ht="15.75" customHeight="1"/>
    <row r="422" s="18" customFormat="1" ht="15.75" customHeight="1"/>
    <row r="423" s="18" customFormat="1" ht="15.75" customHeight="1"/>
    <row r="424" s="18" customFormat="1" ht="15.75" customHeight="1"/>
    <row r="425" s="18" customFormat="1" ht="15.75" customHeight="1"/>
    <row r="426" s="18" customFormat="1" ht="15.75" customHeight="1"/>
    <row r="427" s="18" customFormat="1" ht="15.75" customHeight="1"/>
    <row r="428" s="18" customFormat="1" ht="15.75" customHeight="1"/>
    <row r="429" s="18" customFormat="1" ht="15.75" customHeight="1"/>
    <row r="430" s="18" customFormat="1" ht="15.75" customHeight="1"/>
    <row r="431" s="18" customFormat="1" ht="15.75" customHeight="1"/>
    <row r="432" s="18" customFormat="1" ht="15.75" customHeight="1"/>
    <row r="433" s="18" customFormat="1" ht="15.75" customHeight="1"/>
    <row r="434" s="18" customFormat="1" ht="15.75" customHeight="1"/>
    <row r="435" s="18" customFormat="1" ht="15.75" customHeight="1"/>
    <row r="436" s="18" customFormat="1" ht="15.75" customHeight="1"/>
    <row r="437" s="18" customFormat="1" ht="15.75" customHeight="1"/>
    <row r="438" s="18" customFormat="1" ht="15.75" customHeight="1"/>
    <row r="439" s="18" customFormat="1" ht="15.75" customHeight="1"/>
    <row r="440" s="18" customFormat="1" ht="15.75" customHeight="1"/>
    <row r="441" s="18" customFormat="1" ht="15.75" customHeight="1"/>
    <row r="442" s="18" customFormat="1" ht="15.75" customHeight="1"/>
    <row r="443" s="18" customFormat="1" ht="15.75" customHeight="1"/>
    <row r="444" s="18" customFormat="1" ht="15.75" customHeight="1"/>
    <row r="445" s="18" customFormat="1" ht="15.75" customHeight="1"/>
    <row r="446" s="18" customFormat="1" ht="15.75" customHeight="1"/>
    <row r="447" s="18" customFormat="1" ht="15.75" customHeight="1"/>
    <row r="448" s="18" customFormat="1" ht="15.75" customHeight="1"/>
    <row r="449" s="18" customFormat="1" ht="15.75" customHeight="1"/>
    <row r="450" s="18" customFormat="1" ht="15.75" customHeight="1"/>
    <row r="451" s="18" customFormat="1" ht="15.75" customHeight="1"/>
    <row r="452" s="18" customFormat="1" ht="15.75" customHeight="1"/>
    <row r="453" s="18" customFormat="1" ht="15.75" customHeight="1"/>
    <row r="454" s="18" customFormat="1" ht="15.75" customHeight="1"/>
    <row r="455" s="18" customFormat="1" ht="15.75" customHeight="1"/>
    <row r="456" s="18" customFormat="1" ht="15.75" customHeight="1"/>
    <row r="457" s="18" customFormat="1" ht="15.75" customHeight="1"/>
    <row r="458" s="18" customFormat="1" ht="15.75" customHeight="1"/>
    <row r="459" s="18" customFormat="1" ht="15.75" customHeight="1"/>
    <row r="460" s="18" customFormat="1" ht="15.75" customHeight="1"/>
    <row r="461" s="18" customFormat="1" ht="15.75" customHeight="1"/>
    <row r="462" s="18" customFormat="1" ht="15.75" customHeight="1"/>
    <row r="463" s="18" customFormat="1" ht="15.75" customHeight="1"/>
    <row r="464" s="18" customFormat="1" ht="15.75" customHeight="1"/>
    <row r="465" s="18" customFormat="1" ht="15.75" customHeight="1"/>
    <row r="466" s="18" customFormat="1" ht="15.75" customHeight="1"/>
    <row r="467" s="18" customFormat="1" ht="15.75" customHeight="1"/>
    <row r="468" s="18" customFormat="1" ht="15.75" customHeight="1"/>
    <row r="469" s="18" customFormat="1" ht="15.75" customHeight="1"/>
    <row r="470" s="18" customFormat="1" ht="15.75" customHeight="1"/>
    <row r="471" s="18" customFormat="1" ht="15.75" customHeight="1"/>
    <row r="472" s="18" customFormat="1" ht="15.75" customHeight="1"/>
    <row r="473" s="18" customFormat="1" ht="15.75" customHeight="1"/>
    <row r="474" s="18" customFormat="1" ht="15.75" customHeight="1"/>
    <row r="475" s="18" customFormat="1" ht="15.75" customHeight="1"/>
    <row r="476" s="18" customFormat="1" ht="15.75" customHeight="1"/>
    <row r="477" s="18" customFormat="1" ht="15.75" customHeight="1"/>
    <row r="478" s="18" customFormat="1" ht="15.75" customHeight="1"/>
    <row r="479" s="18" customFormat="1" ht="15.75" customHeight="1"/>
    <row r="480" s="18" customFormat="1" ht="15.75" customHeight="1"/>
    <row r="481" s="18" customFormat="1" ht="15.75" customHeight="1"/>
    <row r="482" s="18" customFormat="1" ht="15.75" customHeight="1"/>
    <row r="483" s="18" customFormat="1" ht="15.75" customHeight="1"/>
    <row r="484" s="18" customFormat="1" ht="15.75" customHeight="1"/>
    <row r="485" s="18" customFormat="1" ht="15.75" customHeight="1"/>
    <row r="486" s="18" customFormat="1" ht="15.75" customHeight="1"/>
    <row r="487" s="18" customFormat="1" ht="15.75" customHeight="1"/>
    <row r="488" s="18" customFormat="1" ht="15.75" customHeight="1"/>
    <row r="489" s="18" customFormat="1" ht="15.75" customHeight="1"/>
    <row r="490" s="18" customFormat="1" ht="15.75" customHeight="1"/>
    <row r="491" s="18" customFormat="1" ht="15.75" customHeight="1"/>
    <row r="492" s="18" customFormat="1" ht="15.75" customHeight="1"/>
    <row r="493" s="18" customFormat="1" ht="15.75" customHeight="1"/>
    <row r="494" s="18" customFormat="1" ht="15.75" customHeight="1"/>
    <row r="495" s="18" customFormat="1" ht="15.75" customHeight="1"/>
    <row r="496" s="18" customFormat="1" ht="15.75" customHeight="1"/>
    <row r="497" s="18" customFormat="1" ht="15.75" customHeight="1"/>
    <row r="498" s="18" customFormat="1" ht="15.75" customHeight="1"/>
    <row r="499" s="18" customFormat="1" ht="15.75" customHeight="1"/>
    <row r="500" s="18" customFormat="1" ht="15.75" customHeight="1"/>
    <row r="501" s="18" customFormat="1" ht="15.75" customHeight="1"/>
    <row r="502" s="18" customFormat="1" ht="15.75" customHeight="1"/>
    <row r="503" s="18" customFormat="1" ht="15.75" customHeight="1"/>
    <row r="504" s="18" customFormat="1" ht="15.75" customHeight="1"/>
    <row r="505" s="18" customFormat="1" ht="15.75" customHeight="1"/>
    <row r="506" s="18" customFormat="1" ht="15.75" customHeight="1"/>
    <row r="507" s="18" customFormat="1" ht="15.75" customHeight="1"/>
    <row r="508" s="18" customFormat="1" ht="15.75" customHeight="1"/>
    <row r="509" s="18" customFormat="1" ht="15.75" customHeight="1"/>
    <row r="510" s="18" customFormat="1" ht="15.75" customHeight="1"/>
    <row r="511" s="18" customFormat="1" ht="15.75" customHeight="1"/>
    <row r="512" s="18" customFormat="1" ht="15.75" customHeight="1"/>
    <row r="513" s="18" customFormat="1" ht="15.75" customHeight="1"/>
    <row r="514" s="18" customFormat="1" ht="15.75" customHeight="1"/>
    <row r="515" s="18" customFormat="1" ht="15.75" customHeight="1"/>
    <row r="516" s="18" customFormat="1" ht="15.75" customHeight="1"/>
    <row r="517" s="18" customFormat="1" ht="15.75" customHeight="1"/>
    <row r="518" s="18" customFormat="1" ht="15.75" customHeight="1"/>
    <row r="519" s="18" customFormat="1" ht="15.75" customHeight="1"/>
    <row r="520" s="18" customFormat="1" ht="15.75" customHeight="1"/>
    <row r="521" s="18" customFormat="1" ht="15.75" customHeight="1"/>
    <row r="522" s="18" customFormat="1" ht="15.75" customHeight="1"/>
    <row r="523" s="18" customFormat="1" ht="15.75" customHeight="1"/>
    <row r="524" s="18" customFormat="1" ht="15.75" customHeight="1"/>
    <row r="525" s="18" customFormat="1" ht="15.75" customHeight="1"/>
    <row r="526" s="18" customFormat="1" ht="15.75" customHeight="1"/>
    <row r="527" s="18" customFormat="1" ht="15.75" customHeight="1"/>
    <row r="528" s="18" customFormat="1" ht="15.75" customHeight="1"/>
    <row r="529" s="18" customFormat="1" ht="15.75" customHeight="1"/>
    <row r="530" s="18" customFormat="1" ht="15.75" customHeight="1"/>
    <row r="531" s="18" customFormat="1" ht="15.75" customHeight="1"/>
    <row r="532" s="18" customFormat="1" ht="15.75" customHeight="1"/>
    <row r="533" s="18" customFormat="1" ht="15.75" customHeight="1"/>
    <row r="534" s="18" customFormat="1" ht="15.75" customHeight="1"/>
    <row r="535" s="18" customFormat="1" ht="15.75" customHeight="1"/>
    <row r="536" s="18" customFormat="1" ht="15.75" customHeight="1"/>
    <row r="537" s="18" customFormat="1" ht="15.75" customHeight="1"/>
    <row r="538" s="18" customFormat="1" ht="15.75" customHeight="1"/>
    <row r="539" s="18" customFormat="1" ht="15.75" customHeight="1"/>
    <row r="540" s="18" customFormat="1" ht="15.75" customHeight="1"/>
    <row r="541" s="18" customFormat="1" ht="15.75" customHeight="1"/>
    <row r="542" s="18" customFormat="1" ht="15.75" customHeight="1"/>
    <row r="543" s="18" customFormat="1" ht="15.75" customHeight="1"/>
    <row r="544" s="18" customFormat="1" ht="15.75" customHeight="1"/>
    <row r="545" s="18" customFormat="1" ht="15.75" customHeight="1"/>
    <row r="546" s="18" customFormat="1" ht="15.75" customHeight="1"/>
    <row r="547" s="18" customFormat="1" ht="15.75" customHeight="1"/>
    <row r="548" s="18" customFormat="1" ht="15.75" customHeight="1"/>
    <row r="549" s="18" customFormat="1" ht="15.75" customHeight="1"/>
    <row r="550" s="18" customFormat="1" ht="15.75" customHeight="1"/>
    <row r="551" s="18" customFormat="1" ht="15.75" customHeight="1"/>
    <row r="552" s="18" customFormat="1" ht="15.75" customHeight="1"/>
    <row r="553" s="18" customFormat="1" ht="15.75" customHeight="1"/>
    <row r="554" s="18" customFormat="1" ht="15.75" customHeight="1"/>
    <row r="555" s="18" customFormat="1" ht="15.75" customHeight="1"/>
    <row r="556" s="18" customFormat="1" ht="15.75" customHeight="1"/>
    <row r="557" s="18" customFormat="1" ht="15.75" customHeight="1"/>
    <row r="558" s="18" customFormat="1" ht="15.75" customHeight="1"/>
    <row r="559" s="18" customFormat="1" ht="15.75" customHeight="1"/>
    <row r="560" s="18" customFormat="1" ht="15.75" customHeight="1"/>
    <row r="561" s="18" customFormat="1" ht="15.75" customHeight="1"/>
    <row r="562" s="18" customFormat="1" ht="15.75" customHeight="1"/>
    <row r="563" s="18" customFormat="1" ht="15.75" customHeight="1"/>
    <row r="564" s="18" customFormat="1" ht="15.75" customHeight="1"/>
    <row r="565" s="18" customFormat="1" ht="15.75" customHeight="1"/>
    <row r="566" s="18" customFormat="1" ht="15.75" customHeight="1"/>
    <row r="567" s="18" customFormat="1" ht="15.75" customHeight="1"/>
    <row r="568" s="18" customFormat="1" ht="15.75" customHeight="1"/>
    <row r="569" s="18" customFormat="1" ht="15.75" customHeight="1"/>
    <row r="570" s="18" customFormat="1" ht="15.75" customHeight="1"/>
    <row r="571" s="18" customFormat="1" ht="15.75" customHeight="1"/>
    <row r="572" s="18" customFormat="1" ht="15.75" customHeight="1"/>
    <row r="573" s="18" customFormat="1" ht="15.75" customHeight="1"/>
    <row r="574" s="18" customFormat="1" ht="15.75" customHeight="1"/>
    <row r="575" s="18" customFormat="1" ht="15.75" customHeight="1"/>
    <row r="576" s="18" customFormat="1" ht="15.75" customHeight="1"/>
    <row r="577" s="18" customFormat="1" ht="15.75" customHeight="1"/>
    <row r="578" s="18" customFormat="1" ht="15.75" customHeight="1"/>
    <row r="579" s="18" customFormat="1" ht="15.75" customHeight="1"/>
    <row r="580" s="18" customFormat="1" ht="15.75" customHeight="1"/>
    <row r="581" s="18" customFormat="1" ht="15.75" customHeight="1"/>
    <row r="582" s="18" customFormat="1" ht="15.75" customHeight="1"/>
    <row r="583" s="18" customFormat="1" ht="15.75" customHeight="1"/>
    <row r="584" s="18" customFormat="1" ht="15.75" customHeight="1"/>
    <row r="585" s="18" customFormat="1" ht="15.75" customHeight="1"/>
    <row r="586" s="18" customFormat="1" ht="15.75" customHeight="1"/>
    <row r="587" s="18" customFormat="1" ht="15.75" customHeight="1"/>
    <row r="588" s="18" customFormat="1" ht="15.75" customHeight="1"/>
    <row r="589" s="18" customFormat="1" ht="15.75" customHeight="1"/>
    <row r="590" s="18" customFormat="1" ht="15.75" customHeight="1"/>
    <row r="591" s="18" customFormat="1" ht="15.75" customHeight="1"/>
    <row r="592" s="18" customFormat="1" ht="15.75" customHeight="1"/>
    <row r="593" s="18" customFormat="1" ht="15.75" customHeight="1"/>
    <row r="594" s="18" customFormat="1" ht="15.75" customHeight="1"/>
    <row r="595" s="18" customFormat="1" ht="15.75" customHeight="1"/>
    <row r="596" s="18" customFormat="1" ht="15.75" customHeight="1"/>
    <row r="597" s="18" customFormat="1" ht="15.75" customHeight="1"/>
    <row r="598" s="18" customFormat="1" ht="15.75" customHeight="1"/>
    <row r="599" s="18" customFormat="1" ht="15.75" customHeight="1"/>
    <row r="600" s="18" customFormat="1" ht="15.75" customHeight="1"/>
    <row r="601" s="18" customFormat="1" ht="15.75" customHeight="1"/>
    <row r="602" s="18" customFormat="1" ht="15.75" customHeight="1"/>
    <row r="603" s="18" customFormat="1" ht="15.75" customHeight="1"/>
    <row r="604" s="18" customFormat="1" ht="15.75" customHeight="1"/>
    <row r="605" s="18" customFormat="1" ht="15.75" customHeight="1"/>
    <row r="606" s="18" customFormat="1" ht="15.75" customHeight="1"/>
    <row r="607" s="18" customFormat="1" ht="15.75" customHeight="1"/>
    <row r="608" s="18" customFormat="1" ht="15.75" customHeight="1"/>
    <row r="609" s="18" customFormat="1" ht="15.75" customHeight="1"/>
    <row r="610" s="18" customFormat="1" ht="15.75" customHeight="1"/>
    <row r="611" s="18" customFormat="1" ht="15.75" customHeight="1"/>
    <row r="612" s="18" customFormat="1" ht="15.75" customHeight="1"/>
    <row r="613" s="18" customFormat="1" ht="15.75" customHeight="1"/>
    <row r="614" s="18" customFormat="1" ht="15.75" customHeight="1"/>
    <row r="615" s="18" customFormat="1" ht="15.75" customHeight="1"/>
    <row r="616" s="18" customFormat="1" ht="15.75" customHeight="1"/>
    <row r="617" s="18" customFormat="1" ht="15.75" customHeight="1"/>
    <row r="618" s="18" customFormat="1" ht="15.75" customHeight="1"/>
    <row r="619" s="18" customFormat="1" ht="15.75" customHeight="1"/>
    <row r="620" s="18" customFormat="1" ht="15.75" customHeight="1"/>
    <row r="621" s="18" customFormat="1" ht="15.75" customHeight="1"/>
    <row r="622" s="18" customFormat="1" ht="15.75" customHeight="1"/>
    <row r="623" s="18" customFormat="1" ht="15.75" customHeight="1"/>
    <row r="624" s="18" customFormat="1" ht="15.75" customHeight="1"/>
    <row r="625" s="18" customFormat="1" ht="15.75" customHeight="1"/>
    <row r="626" s="18" customFormat="1" ht="15.75" customHeight="1"/>
    <row r="627" s="18" customFormat="1" ht="15.75" customHeight="1"/>
    <row r="628" s="18" customFormat="1" ht="15.75" customHeight="1"/>
    <row r="629" s="18" customFormat="1" ht="15.75" customHeight="1"/>
    <row r="630" s="18" customFormat="1" ht="15.75" customHeight="1"/>
    <row r="631" s="18" customFormat="1" ht="15.75" customHeight="1"/>
    <row r="632" s="18" customFormat="1" ht="15.75" customHeight="1"/>
    <row r="633" s="18" customFormat="1" ht="15.75" customHeight="1"/>
    <row r="634" s="18" customFormat="1" ht="15.75" customHeight="1"/>
    <row r="635" s="18" customFormat="1" ht="15.75" customHeight="1"/>
    <row r="636" s="18" customFormat="1" ht="15.75" customHeight="1"/>
    <row r="637" s="18" customFormat="1" ht="15.75" customHeight="1"/>
    <row r="638" s="18" customFormat="1" ht="15.75" customHeight="1"/>
    <row r="639" s="18" customFormat="1" ht="15.75" customHeight="1"/>
    <row r="640" s="18" customFormat="1" ht="15.75" customHeight="1"/>
    <row r="641" s="18" customFormat="1" ht="15.75" customHeight="1"/>
    <row r="642" s="18" customFormat="1" ht="15.75" customHeight="1"/>
    <row r="643" s="18" customFormat="1" ht="15.75" customHeight="1"/>
    <row r="644" s="18" customFormat="1" ht="15.75" customHeight="1"/>
    <row r="645" s="18" customFormat="1" ht="15.75" customHeight="1"/>
    <row r="646" s="18" customFormat="1" ht="15.75" customHeight="1"/>
    <row r="647" s="18" customFormat="1" ht="15.75" customHeight="1"/>
    <row r="648" s="18" customFormat="1" ht="15.75" customHeight="1"/>
    <row r="649" s="18" customFormat="1" ht="15.75" customHeight="1"/>
    <row r="650" s="18" customFormat="1" ht="15.75" customHeight="1"/>
    <row r="651" s="18" customFormat="1" ht="15.75" customHeight="1"/>
    <row r="652" s="18" customFormat="1" ht="15.75" customHeight="1"/>
    <row r="653" s="18" customFormat="1" ht="15.75" customHeight="1"/>
    <row r="654" s="18" customFormat="1" ht="15.75" customHeight="1"/>
    <row r="655" s="18" customFormat="1" ht="15.75" customHeight="1"/>
    <row r="656" s="18" customFormat="1" ht="15.75" customHeight="1"/>
    <row r="657" s="18" customFormat="1" ht="15.75" customHeight="1"/>
    <row r="658" s="18" customFormat="1" ht="15.75" customHeight="1"/>
    <row r="659" s="18" customFormat="1" ht="15.75" customHeight="1"/>
    <row r="660" s="18" customFormat="1" ht="15.75" customHeight="1"/>
    <row r="661" s="18" customFormat="1" ht="15.75" customHeight="1"/>
    <row r="662" s="18" customFormat="1" ht="15.75" customHeight="1"/>
    <row r="663" s="18" customFormat="1" ht="15.75" customHeight="1"/>
    <row r="664" s="18" customFormat="1" ht="15.75" customHeight="1"/>
    <row r="665" s="18" customFormat="1" ht="15.75" customHeight="1"/>
    <row r="666" s="18" customFormat="1" ht="15.75" customHeight="1"/>
    <row r="667" s="18" customFormat="1" ht="15.75" customHeight="1"/>
    <row r="668" s="18" customFormat="1" ht="15.75" customHeight="1"/>
    <row r="669" s="18" customFormat="1" ht="15.75" customHeight="1"/>
    <row r="670" s="18" customFormat="1" ht="15.75" customHeight="1"/>
    <row r="671" s="18" customFormat="1" ht="15.75" customHeight="1"/>
    <row r="672" s="18" customFormat="1" ht="15.75" customHeight="1"/>
    <row r="673" s="18" customFormat="1" ht="15.75" customHeight="1"/>
    <row r="674" s="18" customFormat="1" ht="15.75" customHeight="1"/>
    <row r="675" s="18" customFormat="1" ht="15.75" customHeight="1"/>
    <row r="676" s="18" customFormat="1" ht="15.75" customHeight="1"/>
    <row r="677" s="18" customFormat="1" ht="15.75" customHeight="1"/>
    <row r="678" s="18" customFormat="1" ht="15.75" customHeight="1"/>
    <row r="679" s="18" customFormat="1" ht="15.75" customHeight="1"/>
    <row r="680" s="18" customFormat="1" ht="15.75" customHeight="1"/>
    <row r="681" s="18" customFormat="1" ht="15.75" customHeight="1"/>
    <row r="682" s="18" customFormat="1" ht="15.75" customHeight="1"/>
    <row r="683" s="18" customFormat="1" ht="15.75" customHeight="1"/>
    <row r="684" s="18" customFormat="1" ht="15.75" customHeight="1"/>
    <row r="685" s="18" customFormat="1" ht="15.75" customHeight="1"/>
    <row r="686" s="18" customFormat="1" ht="15.75" customHeight="1"/>
    <row r="687" s="18" customFormat="1" ht="15.75" customHeight="1"/>
    <row r="688" s="18" customFormat="1" ht="15.75" customHeight="1"/>
    <row r="689" s="18" customFormat="1" ht="15.75" customHeight="1"/>
    <row r="690" s="18" customFormat="1" ht="15.75" customHeight="1"/>
    <row r="691" s="18" customFormat="1" ht="15.75" customHeight="1"/>
    <row r="692" s="18" customFormat="1" ht="15.75" customHeight="1"/>
    <row r="693" s="18" customFormat="1" ht="15.75" customHeight="1"/>
    <row r="694" s="18" customFormat="1" ht="15.75" customHeight="1"/>
    <row r="695" s="18" customFormat="1" ht="15.75" customHeight="1"/>
    <row r="696" s="18" customFormat="1" ht="15.75" customHeight="1"/>
    <row r="697" s="18" customFormat="1" ht="15.75" customHeight="1"/>
    <row r="698" s="18" customFormat="1" ht="15.75" customHeight="1"/>
    <row r="699" s="18" customFormat="1" ht="15.75" customHeight="1"/>
    <row r="700" s="18" customFormat="1" ht="15.75" customHeight="1"/>
    <row r="701" s="18" customFormat="1" ht="15.75" customHeight="1"/>
    <row r="702" s="18" customFormat="1" ht="15.75" customHeight="1"/>
    <row r="703" s="18" customFormat="1" ht="15.75" customHeight="1"/>
    <row r="704" s="18" customFormat="1" ht="15.75" customHeight="1"/>
    <row r="705" s="18" customFormat="1" ht="15.75" customHeight="1"/>
    <row r="706" s="18" customFormat="1" ht="15.75" customHeight="1"/>
    <row r="707" s="18" customFormat="1" ht="15.75" customHeight="1"/>
    <row r="708" s="18" customFormat="1" ht="15.75" customHeight="1"/>
    <row r="709" s="18" customFormat="1" ht="15.75" customHeight="1"/>
    <row r="710" s="18" customFormat="1" ht="15.75" customHeight="1"/>
    <row r="711" s="18" customFormat="1" ht="15.75" customHeight="1"/>
    <row r="712" s="18" customFormat="1" ht="15.75" customHeight="1"/>
    <row r="713" s="18" customFormat="1" ht="15.75" customHeight="1"/>
    <row r="714" s="18" customFormat="1" ht="15.75" customHeight="1"/>
    <row r="715" s="18" customFormat="1" ht="15.75" customHeight="1"/>
    <row r="716" s="18" customFormat="1" ht="15.75" customHeight="1"/>
    <row r="717" s="18" customFormat="1" ht="15.75" customHeight="1"/>
    <row r="718" s="18" customFormat="1" ht="15.75" customHeight="1"/>
    <row r="719" s="18" customFormat="1" ht="15.75" customHeight="1"/>
    <row r="720" s="18" customFormat="1" ht="15.75" customHeight="1"/>
    <row r="721" s="18" customFormat="1" ht="15.75" customHeight="1"/>
    <row r="722" s="18" customFormat="1" ht="15.75" customHeight="1"/>
    <row r="723" s="18" customFormat="1" ht="15.75" customHeight="1"/>
    <row r="724" s="18" customFormat="1" ht="15.75" customHeight="1"/>
    <row r="725" s="18" customFormat="1" ht="15.75" customHeight="1"/>
    <row r="726" s="18" customFormat="1" ht="15.75" customHeight="1"/>
    <row r="727" s="18" customFormat="1" ht="15.75" customHeight="1"/>
    <row r="728" s="18" customFormat="1" ht="15.75" customHeight="1"/>
    <row r="729" s="18" customFormat="1" ht="15.75" customHeight="1"/>
    <row r="730" s="18" customFormat="1" ht="15.75" customHeight="1"/>
    <row r="731" s="18" customFormat="1" ht="15.75" customHeight="1"/>
    <row r="732" s="18" customFormat="1" ht="15.75" customHeight="1"/>
    <row r="733" s="18" customFormat="1" ht="15.75" customHeight="1"/>
    <row r="734" s="18" customFormat="1" ht="15.75" customHeight="1"/>
    <row r="735" s="18" customFormat="1" ht="15.75" customHeight="1"/>
    <row r="736" s="18" customFormat="1" ht="15.75" customHeight="1"/>
    <row r="737" s="18" customFormat="1" ht="15.75" customHeight="1"/>
    <row r="738" s="18" customFormat="1" ht="15.75" customHeight="1"/>
    <row r="739" s="18" customFormat="1" ht="15.75" customHeight="1"/>
    <row r="740" s="18" customFormat="1" ht="15.75" customHeight="1"/>
    <row r="741" s="18" customFormat="1" ht="15.75" customHeight="1"/>
    <row r="742" s="18" customFormat="1" ht="15.75" customHeight="1"/>
    <row r="743" s="18" customFormat="1" ht="15.75" customHeight="1"/>
    <row r="744" s="18" customFormat="1" ht="15.75" customHeight="1"/>
    <row r="745" s="18" customFormat="1" ht="15.75" customHeight="1"/>
    <row r="746" s="18" customFormat="1" ht="15.75" customHeight="1"/>
    <row r="747" s="18" customFormat="1" ht="15.75" customHeight="1"/>
    <row r="748" s="18" customFormat="1" ht="15.75" customHeight="1"/>
    <row r="749" s="18" customFormat="1" ht="15.75" customHeight="1"/>
    <row r="750" s="18" customFormat="1" ht="15.75" customHeight="1"/>
    <row r="751" s="18" customFormat="1" ht="15.75" customHeight="1"/>
    <row r="752" s="18" customFormat="1" ht="15.75" customHeight="1"/>
    <row r="753" s="18" customFormat="1" ht="15.75" customHeight="1"/>
    <row r="754" s="18" customFormat="1" ht="15.75" customHeight="1"/>
    <row r="755" s="18" customFormat="1" ht="15.75" customHeight="1"/>
    <row r="756" s="18" customFormat="1" ht="15.75" customHeight="1"/>
    <row r="757" s="18" customFormat="1" ht="15.75" customHeight="1"/>
    <row r="758" s="18" customFormat="1" ht="15.75" customHeight="1"/>
    <row r="759" s="18" customFormat="1" ht="15.75" customHeight="1"/>
    <row r="760" s="18" customFormat="1" ht="15.75" customHeight="1"/>
    <row r="761" s="18" customFormat="1" ht="15.75" customHeight="1"/>
    <row r="762" s="18" customFormat="1" ht="15.75" customHeight="1"/>
    <row r="763" s="18" customFormat="1" ht="15.75" customHeight="1"/>
    <row r="764" s="18" customFormat="1" ht="15.75" customHeight="1"/>
    <row r="765" s="18" customFormat="1" ht="15.75" customHeight="1"/>
    <row r="766" s="18" customFormat="1" ht="15.75" customHeight="1"/>
    <row r="767" s="18" customFormat="1" ht="15.75" customHeight="1"/>
    <row r="768" s="18" customFormat="1" ht="15.75" customHeight="1"/>
    <row r="769" s="18" customFormat="1" ht="15.75" customHeight="1"/>
    <row r="770" s="18" customFormat="1" ht="15.75" customHeight="1"/>
    <row r="771" s="18" customFormat="1" ht="15.75" customHeight="1"/>
    <row r="772" s="18" customFormat="1" ht="15.75" customHeight="1"/>
    <row r="773" s="18" customFormat="1" ht="15.75" customHeight="1"/>
    <row r="774" s="18" customFormat="1" ht="15.75" customHeight="1"/>
    <row r="775" s="18" customFormat="1" ht="15.75" customHeight="1"/>
    <row r="776" s="18" customFormat="1" ht="15.75" customHeight="1"/>
    <row r="777" s="18" customFormat="1" ht="15.75" customHeight="1"/>
    <row r="778" s="18" customFormat="1" ht="15.75" customHeight="1"/>
    <row r="779" s="18" customFormat="1" ht="15.75" customHeight="1"/>
    <row r="780" s="18" customFormat="1" ht="15.75" customHeight="1"/>
    <row r="781" s="18" customFormat="1" ht="15.75" customHeight="1"/>
    <row r="782" s="18" customFormat="1" ht="15.75" customHeight="1"/>
    <row r="783" s="18" customFormat="1" ht="15.75" customHeight="1"/>
    <row r="784" s="18" customFormat="1" ht="15.75" customHeight="1"/>
    <row r="785" s="18" customFormat="1" ht="15.75" customHeight="1"/>
    <row r="786" s="18" customFormat="1" ht="15.75" customHeight="1"/>
    <row r="787" s="18" customFormat="1" ht="15.75" customHeight="1"/>
    <row r="788" s="18" customFormat="1" ht="15.75" customHeight="1"/>
    <row r="789" s="18" customFormat="1" ht="15.75" customHeight="1"/>
    <row r="790" s="18" customFormat="1" ht="15.75" customHeight="1"/>
    <row r="791" s="18" customFormat="1" ht="15.75" customHeight="1"/>
    <row r="792" s="18" customFormat="1" ht="15.75" customHeight="1"/>
    <row r="793" s="18" customFormat="1" ht="15.75" customHeight="1"/>
    <row r="794" s="18" customFormat="1" ht="15.75" customHeight="1"/>
    <row r="795" s="18" customFormat="1" ht="15.75" customHeight="1"/>
    <row r="796" s="18" customFormat="1" ht="15.75" customHeight="1"/>
    <row r="797" s="18" customFormat="1" ht="15.75" customHeight="1"/>
    <row r="798" s="18" customFormat="1" ht="15.75" customHeight="1"/>
    <row r="799" s="18" customFormat="1" ht="15.75" customHeight="1"/>
    <row r="800" s="18" customFormat="1" ht="15.75" customHeight="1"/>
    <row r="801" s="18" customFormat="1" ht="15.75" customHeight="1"/>
    <row r="802" s="18" customFormat="1" ht="15.75" customHeight="1"/>
    <row r="803" s="18" customFormat="1" ht="15.75" customHeight="1"/>
    <row r="804" s="18" customFormat="1" ht="15.75" customHeight="1"/>
    <row r="805" s="18" customFormat="1" ht="15.75" customHeight="1"/>
    <row r="806" s="18" customFormat="1" ht="15.75" customHeight="1"/>
    <row r="807" s="18" customFormat="1" ht="15.75" customHeight="1"/>
    <row r="808" s="18" customFormat="1" ht="15.75" customHeight="1"/>
    <row r="809" s="18" customFormat="1" ht="15.75" customHeight="1"/>
    <row r="810" s="18" customFormat="1" ht="15.75" customHeight="1"/>
    <row r="811" s="18" customFormat="1" ht="15.75" customHeight="1"/>
    <row r="812" s="18" customFormat="1" ht="15.75" customHeight="1"/>
    <row r="813" s="18" customFormat="1" ht="15.75" customHeight="1"/>
    <row r="814" s="18" customFormat="1" ht="15.75" customHeight="1"/>
    <row r="815" s="18" customFormat="1" ht="15.75" customHeight="1"/>
    <row r="816" s="18" customFormat="1" ht="15.75" customHeight="1"/>
    <row r="817" s="18" customFormat="1" ht="15.75" customHeight="1"/>
    <row r="818" s="18" customFormat="1" ht="15.75" customHeight="1"/>
    <row r="819" s="18" customFormat="1" ht="15.75" customHeight="1"/>
    <row r="820" s="18" customFormat="1" ht="15.75" customHeight="1"/>
    <row r="821" s="18" customFormat="1" ht="15.75" customHeight="1"/>
    <row r="822" s="18" customFormat="1" ht="15.75" customHeight="1"/>
    <row r="823" s="18" customFormat="1" ht="15.75" customHeight="1"/>
    <row r="824" s="18" customFormat="1" ht="15.75" customHeight="1"/>
    <row r="825" s="18" customFormat="1" ht="15.75" customHeight="1"/>
    <row r="826" s="18" customFormat="1" ht="15.75" customHeight="1"/>
    <row r="827" s="18" customFormat="1" ht="15.75" customHeight="1"/>
    <row r="828" s="18" customFormat="1" ht="15.75" customHeight="1"/>
    <row r="829" s="18" customFormat="1" ht="15.75" customHeight="1"/>
    <row r="830" s="18" customFormat="1" ht="15.75" customHeight="1"/>
    <row r="831" s="18" customFormat="1" ht="15.75" customHeight="1"/>
    <row r="832" s="18" customFormat="1" ht="15.75" customHeight="1"/>
    <row r="833" s="18" customFormat="1" ht="15.75" customHeight="1"/>
    <row r="834" s="18" customFormat="1" ht="15.75" customHeight="1"/>
    <row r="835" s="18" customFormat="1" ht="15.75" customHeight="1"/>
    <row r="836" s="18" customFormat="1" ht="15.75" customHeight="1"/>
    <row r="837" s="18" customFormat="1" ht="15.75" customHeight="1"/>
    <row r="838" s="18" customFormat="1" ht="15.75" customHeight="1"/>
    <row r="839" s="18" customFormat="1" ht="15.75" customHeight="1"/>
    <row r="840" s="18" customFormat="1" ht="15.75" customHeight="1"/>
    <row r="841" s="18" customFormat="1" ht="15.75" customHeight="1"/>
    <row r="842" s="18" customFormat="1" ht="15.75" customHeight="1"/>
    <row r="843" s="18" customFormat="1" ht="15.75" customHeight="1"/>
    <row r="844" s="18" customFormat="1" ht="15.75" customHeight="1"/>
    <row r="845" s="18" customFormat="1" ht="15.75" customHeight="1"/>
    <row r="846" s="18" customFormat="1" ht="15.75" customHeight="1"/>
    <row r="847" s="18" customFormat="1" ht="15.75" customHeight="1"/>
    <row r="848" s="18" customFormat="1" ht="15.75" customHeight="1"/>
    <row r="849" s="18" customFormat="1" ht="15.75" customHeight="1"/>
    <row r="850" s="18" customFormat="1" ht="15.75" customHeight="1"/>
    <row r="851" s="18" customFormat="1" ht="15.75" customHeight="1"/>
    <row r="852" s="18" customFormat="1" ht="15.75" customHeight="1"/>
    <row r="853" s="18" customFormat="1" ht="15.75" customHeight="1"/>
    <row r="854" s="18" customFormat="1" ht="15.75" customHeight="1"/>
    <row r="855" s="18" customFormat="1" ht="15.75" customHeight="1"/>
    <row r="856" s="18" customFormat="1" ht="15.75" customHeight="1"/>
    <row r="857" s="18" customFormat="1" ht="15.75" customHeight="1"/>
    <row r="858" s="18" customFormat="1" ht="15.75" customHeight="1"/>
    <row r="859" s="18" customFormat="1" ht="15.75" customHeight="1"/>
    <row r="860" s="18" customFormat="1" ht="15.75" customHeight="1"/>
    <row r="861" s="18" customFormat="1" ht="15.75" customHeight="1"/>
    <row r="862" s="18" customFormat="1" ht="15.75" customHeight="1"/>
    <row r="863" s="18" customFormat="1" ht="15.75" customHeight="1"/>
    <row r="864" s="18" customFormat="1" ht="15.75" customHeight="1"/>
    <row r="865" s="18" customFormat="1" ht="15.75" customHeight="1"/>
    <row r="866" s="18" customFormat="1" ht="15.75" customHeight="1"/>
    <row r="867" s="18" customFormat="1" ht="15.75" customHeight="1"/>
    <row r="868" s="18" customFormat="1" ht="15.75" customHeight="1"/>
    <row r="869" s="18" customFormat="1" ht="15.75" customHeight="1"/>
    <row r="870" s="18" customFormat="1" ht="15.75" customHeight="1"/>
    <row r="871" s="18" customFormat="1" ht="15.75" customHeight="1"/>
    <row r="872" s="18" customFormat="1" ht="15.75" customHeight="1"/>
    <row r="873" s="18" customFormat="1" ht="15.75" customHeight="1"/>
    <row r="874" s="18" customFormat="1" ht="15.75" customHeight="1"/>
    <row r="875" s="18" customFormat="1" ht="15.75" customHeight="1"/>
    <row r="876" s="18" customFormat="1" ht="15.75" customHeight="1"/>
    <row r="877" s="18" customFormat="1" ht="15.75" customHeight="1"/>
    <row r="878" s="18" customFormat="1" ht="15.75" customHeight="1"/>
    <row r="879" s="18" customFormat="1" ht="15.75" customHeight="1"/>
    <row r="880" s="18" customFormat="1" ht="15.75" customHeight="1"/>
    <row r="881" s="18" customFormat="1" ht="15.75" customHeight="1"/>
    <row r="882" s="18" customFormat="1" ht="15.75" customHeight="1"/>
    <row r="883" s="18" customFormat="1" ht="15.75" customHeight="1"/>
    <row r="884" s="18" customFormat="1" ht="15.75" customHeight="1"/>
    <row r="885" s="18" customFormat="1" ht="15.75" customHeight="1"/>
    <row r="886" s="18" customFormat="1" ht="15.75" customHeight="1"/>
    <row r="887" s="18" customFormat="1" ht="15.75" customHeight="1"/>
    <row r="888" s="18" customFormat="1" ht="15.75" customHeight="1"/>
    <row r="889" s="18" customFormat="1" ht="15.75" customHeight="1"/>
    <row r="890" s="18" customFormat="1" ht="15.75" customHeight="1"/>
    <row r="891" s="18" customFormat="1" ht="15.75" customHeight="1"/>
    <row r="892" s="18" customFormat="1" ht="15.75" customHeight="1"/>
    <row r="893" s="18" customFormat="1" ht="15.75" customHeight="1"/>
    <row r="894" s="18" customFormat="1" ht="15.75" customHeight="1"/>
    <row r="895" s="18" customFormat="1" ht="15.75" customHeight="1"/>
    <row r="896" s="18" customFormat="1" ht="15.75" customHeight="1"/>
    <row r="897" s="18" customFormat="1" ht="15.75" customHeight="1"/>
    <row r="898" s="18" customFormat="1" ht="15.75" customHeight="1"/>
    <row r="899" s="18" customFormat="1" ht="15.75" customHeight="1"/>
    <row r="900" s="18" customFormat="1" ht="15.75" customHeight="1"/>
    <row r="901" s="18" customFormat="1" ht="15.75" customHeight="1"/>
    <row r="902" s="18" customFormat="1" ht="15.75" customHeight="1"/>
    <row r="903" s="18" customFormat="1" ht="15.75" customHeight="1"/>
    <row r="904" s="18" customFormat="1" ht="15.75" customHeight="1"/>
    <row r="905" s="18" customFormat="1" ht="15.75" customHeight="1"/>
    <row r="906" s="18" customFormat="1" ht="15.75" customHeight="1"/>
    <row r="907" s="18" customFormat="1" ht="15.75" customHeight="1"/>
    <row r="908" s="18" customFormat="1" ht="15.75" customHeight="1"/>
    <row r="909" s="18" customFormat="1" ht="15.75" customHeight="1"/>
    <row r="910" s="18" customFormat="1" ht="15.75" customHeight="1"/>
    <row r="911" s="18" customFormat="1" ht="15.75" customHeight="1"/>
    <row r="912" s="18" customFormat="1" ht="15.75" customHeight="1"/>
    <row r="913" s="18" customFormat="1" ht="15.75" customHeight="1"/>
    <row r="914" s="18" customFormat="1" ht="15.75" customHeight="1"/>
    <row r="915" s="18" customFormat="1" ht="15.75" customHeight="1"/>
    <row r="916" s="18" customFormat="1" ht="15.75" customHeight="1"/>
    <row r="917" s="18" customFormat="1" ht="15.75" customHeight="1"/>
    <row r="918" s="18" customFormat="1" ht="15.75" customHeight="1"/>
    <row r="919" s="18" customFormat="1" ht="15.75" customHeight="1"/>
    <row r="920" s="18" customFormat="1" ht="15.75" customHeight="1"/>
    <row r="921" s="18" customFormat="1" ht="15.75" customHeight="1"/>
    <row r="922" s="18" customFormat="1" ht="15.75" customHeight="1"/>
    <row r="923" s="18" customFormat="1" ht="15.75" customHeight="1"/>
    <row r="924" s="18" customFormat="1" ht="15.75" customHeight="1"/>
    <row r="925" s="18" customFormat="1" ht="15.75" customHeight="1"/>
    <row r="926" s="18" customFormat="1" ht="15.75" customHeight="1"/>
    <row r="927" s="18" customFormat="1" ht="15.75" customHeight="1"/>
    <row r="928" s="18" customFormat="1" ht="15.75" customHeight="1"/>
    <row r="929" s="18" customFormat="1" ht="15.75" customHeight="1"/>
    <row r="930" s="18" customFormat="1" ht="15.75" customHeight="1"/>
    <row r="931" s="18" customFormat="1" ht="15.75" customHeight="1"/>
    <row r="932" s="18" customFormat="1" ht="15.75" customHeight="1"/>
    <row r="933" s="18" customFormat="1" ht="15.75" customHeight="1"/>
    <row r="934" s="18" customFormat="1" ht="15.75" customHeight="1"/>
    <row r="935" s="18" customFormat="1" ht="15.75" customHeight="1"/>
    <row r="936" s="18" customFormat="1" ht="15.75" customHeight="1"/>
    <row r="937" s="18" customFormat="1" ht="15.75" customHeight="1"/>
    <row r="938" s="18" customFormat="1" ht="15.75" customHeight="1"/>
    <row r="939" s="18" customFormat="1" ht="15.75" customHeight="1"/>
    <row r="940" s="18" customFormat="1" ht="15.75" customHeight="1"/>
    <row r="941" s="18" customFormat="1" ht="15.75" customHeight="1"/>
    <row r="942" s="18" customFormat="1" ht="15.75" customHeight="1"/>
    <row r="943" s="18" customFormat="1" ht="15.75" customHeight="1"/>
    <row r="944" s="18" customFormat="1" ht="15.75" customHeight="1"/>
    <row r="945" s="18" customFormat="1" ht="15.75" customHeight="1"/>
    <row r="946" s="18" customFormat="1" ht="15.75" customHeight="1"/>
    <row r="947" s="18" customFormat="1" ht="15.75" customHeight="1"/>
    <row r="948" s="18" customFormat="1" ht="15.75" customHeight="1"/>
    <row r="949" s="18" customFormat="1" ht="15.75" customHeight="1"/>
    <row r="950" s="18" customFormat="1" ht="15.75" customHeight="1"/>
    <row r="951" s="18" customFormat="1" ht="15.75" customHeight="1"/>
    <row r="952" s="18" customFormat="1" ht="15.75" customHeight="1"/>
    <row r="953" s="18" customFormat="1" ht="15.75" customHeight="1"/>
    <row r="954" s="18" customFormat="1" ht="15.75" customHeight="1"/>
    <row r="955" s="18" customFormat="1" ht="15.75" customHeight="1"/>
    <row r="956" s="18" customFormat="1" ht="15.75" customHeight="1"/>
    <row r="957" s="18" customFormat="1" ht="15.75" customHeight="1"/>
    <row r="958" s="18" customFormat="1" ht="15.75" customHeight="1"/>
    <row r="959" s="18" customFormat="1" ht="15.75" customHeight="1"/>
    <row r="960" s="18" customFormat="1" ht="15.75" customHeight="1"/>
    <row r="961" s="18" customFormat="1" ht="15.75" customHeight="1"/>
    <row r="962" s="18" customFormat="1" ht="15.75" customHeight="1"/>
    <row r="963" s="18" customFormat="1" ht="15.75" customHeight="1"/>
    <row r="964" s="18" customFormat="1" ht="15.75" customHeight="1"/>
    <row r="965" s="18" customFormat="1" ht="15.75" customHeight="1"/>
    <row r="966" s="18" customFormat="1" ht="15.75" customHeight="1"/>
    <row r="967" s="18" customFormat="1" ht="15.75" customHeight="1"/>
    <row r="968" s="18" customFormat="1" ht="15.75" customHeight="1"/>
    <row r="969" s="18" customFormat="1" ht="15.75" customHeight="1"/>
    <row r="970" s="18" customFormat="1" ht="15.75" customHeight="1"/>
    <row r="971" s="18" customFormat="1" ht="15.75" customHeight="1"/>
    <row r="972" s="18" customFormat="1" ht="15.75" customHeight="1"/>
    <row r="973" s="18" customFormat="1" ht="15.75" customHeight="1"/>
    <row r="974" s="18" customFormat="1" ht="15.75" customHeight="1"/>
    <row r="975" s="18" customFormat="1" ht="15.75" customHeight="1"/>
    <row r="976" s="18" customFormat="1" ht="15.75" customHeight="1"/>
    <row r="977" s="18" customFormat="1" ht="15.75" customHeight="1"/>
    <row r="978" s="18" customFormat="1" ht="15.75" customHeight="1"/>
    <row r="979" s="18" customFormat="1" ht="15.75" customHeight="1"/>
    <row r="980" s="18" customFormat="1" ht="15.75" customHeight="1"/>
    <row r="981" s="18" customFormat="1" ht="15.75" customHeight="1"/>
    <row r="982" s="18" customFormat="1" ht="15.75" customHeight="1"/>
    <row r="983" s="18" customFormat="1" ht="15.75" customHeight="1"/>
    <row r="984" s="18" customFormat="1" ht="15.75" customHeight="1"/>
    <row r="985" s="18" customFormat="1" ht="15.75" customHeight="1"/>
    <row r="986" s="18" customFormat="1" ht="15.75" customHeight="1"/>
    <row r="987" s="18" customFormat="1" ht="15.75" customHeight="1"/>
    <row r="988" s="18" customFormat="1" ht="15.75" customHeight="1"/>
    <row r="989" s="18" customFormat="1" ht="15.75" customHeight="1"/>
    <row r="990" s="18" customFormat="1" ht="15.75" customHeight="1"/>
    <row r="991" s="18" customFormat="1" ht="15.75" customHeight="1"/>
    <row r="992" s="18" customFormat="1" ht="15.75" customHeight="1"/>
    <row r="993" s="18" customFormat="1" ht="15.75" customHeight="1"/>
    <row r="994" s="18" customFormat="1" ht="15.75" customHeight="1"/>
    <row r="995" s="18" customFormat="1" ht="15.75" customHeight="1"/>
    <row r="996" s="18" customFormat="1" ht="15.75" customHeight="1"/>
    <row r="997" s="18" customFormat="1" ht="15.75" customHeight="1"/>
    <row r="998" s="18" customFormat="1" ht="15.75" customHeight="1"/>
    <row r="999" s="18" customFormat="1" ht="15.75" customHeight="1"/>
    <row r="1000" s="18" customFormat="1" ht="15.75" customHeight="1"/>
  </sheetData>
  <mergeCells count="2">
    <mergeCell ref="L7:O7"/>
    <mergeCell ref="B17:I1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0"/>
  <sheetViews>
    <sheetView zoomScale="60" zoomScaleNormal="60" workbookViewId="0">
      <selection activeCell="J5" sqref="J5"/>
    </sheetView>
  </sheetViews>
  <sheetFormatPr defaultColWidth="9.18181818181818" defaultRowHeight="14"/>
  <cols>
    <col min="1" max="1" width="7.45454545454545" style="2" customWidth="1"/>
    <col min="2" max="2" width="27.8181818181818" style="2" customWidth="1"/>
    <col min="3" max="3" width="9.18181818181818" style="2"/>
    <col min="4" max="4" width="26.4545454545455" style="2" customWidth="1"/>
    <col min="5" max="5" width="25.2727272727273" style="2" customWidth="1"/>
    <col min="6" max="6" width="8.72727272727273" style="2" customWidth="1"/>
    <col min="7" max="7" width="26.4545454545455" style="2" customWidth="1"/>
    <col min="8" max="8" width="12.1818181818182" style="2" customWidth="1"/>
    <col min="9" max="9" width="8.72727272727273" style="2" customWidth="1"/>
    <col min="10" max="10" width="9.18181818181818" style="2" customWidth="1"/>
    <col min="11" max="11" width="32.4545454545455" style="2" customWidth="1"/>
    <col min="12" max="12" width="17.7272727272727" style="2" customWidth="1"/>
    <col min="13" max="16384" width="9.18181818181818" style="2"/>
  </cols>
  <sheetData>
    <row r="1" s="1" customFormat="1" ht="25" spans="1:1">
      <c r="A1" s="5" t="s">
        <v>73</v>
      </c>
    </row>
    <row r="3" s="2" customFormat="1" ht="18" spans="1:12">
      <c r="A3" s="6" t="str">
        <f>UPPER("Data Nilai Peserta Pelatihan Kerja 2022")</f>
        <v>DATA NILAI PESERTA PELATIHAN KERJA 2022</v>
      </c>
      <c r="J3" s="11" t="s">
        <v>74</v>
      </c>
      <c r="L3" s="16">
        <v>10000000</v>
      </c>
    </row>
    <row r="4" s="3" customFormat="1" ht="36" customHeight="1" spans="1:12">
      <c r="A4" s="7" t="s">
        <v>75</v>
      </c>
      <c r="B4" s="7" t="s">
        <v>76</v>
      </c>
      <c r="C4" s="7" t="s">
        <v>77</v>
      </c>
      <c r="D4" s="7" t="s">
        <v>78</v>
      </c>
      <c r="E4" s="7" t="s">
        <v>79</v>
      </c>
      <c r="F4" s="8" t="s">
        <v>80</v>
      </c>
      <c r="G4" s="7" t="s">
        <v>81</v>
      </c>
      <c r="H4" s="7" t="s">
        <v>82</v>
      </c>
      <c r="I4" s="8" t="s">
        <v>83</v>
      </c>
      <c r="J4" s="8" t="s">
        <v>84</v>
      </c>
      <c r="K4" s="7" t="s">
        <v>85</v>
      </c>
      <c r="L4" s="8" t="s">
        <v>86</v>
      </c>
    </row>
    <row r="5" s="4" customFormat="1" ht="18" customHeight="1" spans="1:12">
      <c r="A5" s="9">
        <v>1</v>
      </c>
      <c r="B5" s="10" t="s">
        <v>87</v>
      </c>
      <c r="C5" s="9" t="s">
        <v>88</v>
      </c>
      <c r="D5" s="10" t="str">
        <f t="shared" ref="D5:D15" si="0">VLOOKUP(LEFT(C5,2),$A$22:$B$24,2,FALSE)</f>
        <v>Komputer Aplikasi Bisnis</v>
      </c>
      <c r="E5" s="10" t="str">
        <f t="shared" ref="E5:E15" si="1">VLOOKUP(--RIGHT(C5),$D$22:$E$23,2,FALSE)</f>
        <v>1 Tahun (Diploma 1)</v>
      </c>
      <c r="F5" s="9" t="s">
        <v>89</v>
      </c>
      <c r="G5" s="10" t="str" cm="1">
        <f t="array" ref="G5">INDEX($G$22:$G$25,MATCH(LEFT(F5,2),$H$22:$H$25,0))</f>
        <v>Microsoft Office</v>
      </c>
      <c r="H5" s="10">
        <f t="shared" ref="H5:H15" si="2">(--RIGHT(F5))</f>
        <v>2</v>
      </c>
      <c r="I5" s="9">
        <v>100</v>
      </c>
      <c r="J5" s="10" t="str" cm="1">
        <f t="array" ref="J5">INDEX($K$22:$K$28,MATCH(I5,$J$22:$J$28))</f>
        <v>A</v>
      </c>
      <c r="K5" s="10" t="str" cm="1">
        <f t="array" ref="K5">_xlfn.IFS(J5="E","REMIDI",J5="D","REMIDI",TRUE,"LULUS")</f>
        <v>LULUS</v>
      </c>
      <c r="L5" s="10" cm="1">
        <f t="array" ref="L5">_xlfn.IFS(AND(D5="Teknik Informatika",I5&gt;70),L$3*5%,AND(D5="Komputer Aplikasi Bisnis",I5&gt;70),L$3*3%,AND(D5="Komputer Grafis",I5&gt;70),L$3*2%,TRUE,0)</f>
        <v>300000</v>
      </c>
    </row>
    <row r="6" s="4" customFormat="1" ht="18" customHeight="1" spans="1:12">
      <c r="A6" s="9">
        <v>2</v>
      </c>
      <c r="B6" s="10" t="s">
        <v>90</v>
      </c>
      <c r="C6" s="9" t="s">
        <v>91</v>
      </c>
      <c r="D6" s="10" t="str">
        <f t="shared" si="0"/>
        <v>Komputer Aplikasi Bisnis</v>
      </c>
      <c r="E6" s="10" t="str">
        <f t="shared" si="1"/>
        <v>2 Tahun (Diploma 2)</v>
      </c>
      <c r="F6" s="9" t="s">
        <v>89</v>
      </c>
      <c r="G6" s="10" t="str" cm="1">
        <f t="array" ref="G6">INDEX($G$22:$G$25,MATCH(LEFT(F6,2),$H$22:$H$25,0))</f>
        <v>Microsoft Office</v>
      </c>
      <c r="H6" s="10">
        <f t="shared" si="2"/>
        <v>2</v>
      </c>
      <c r="I6" s="9">
        <v>0</v>
      </c>
      <c r="J6" s="10" t="str" cm="1">
        <f t="array" ref="J6">INDEX($K$22:$K$28,MATCH(I6,$J$22:$J$28))</f>
        <v>E</v>
      </c>
      <c r="K6" s="10" t="str">
        <f t="shared" ref="K5:K15" si="3">_xlfn.IFS(J6="E","REMIDI",J6="D","REMIDI",TRUE,"LULUS")</f>
        <v>REMIDI</v>
      </c>
      <c r="L6" s="10" cm="1">
        <f t="array" ref="L6">_xlfn.IFS(AND(D6="Teknik Informatika",I6&gt;70),L$3*5%,AND(D6="Komputer Aplikasi Bisnis",I6&gt;70),L$3*3%,AND(D6="Komputer Grafis",I6&gt;70),L$3*2%,TRUE,0)</f>
        <v>0</v>
      </c>
    </row>
    <row r="7" s="4" customFormat="1" ht="18" customHeight="1" spans="1:12">
      <c r="A7" s="9">
        <v>3</v>
      </c>
      <c r="B7" s="10" t="s">
        <v>92</v>
      </c>
      <c r="C7" s="9" t="s">
        <v>93</v>
      </c>
      <c r="D7" s="10" t="str">
        <f t="shared" si="0"/>
        <v>Teknik Informatika</v>
      </c>
      <c r="E7" s="10" t="str">
        <f t="shared" si="1"/>
        <v>1 Tahun (Diploma 1)</v>
      </c>
      <c r="F7" s="9" t="s">
        <v>94</v>
      </c>
      <c r="G7" s="10" t="str" cm="1">
        <f t="array" ref="G7">INDEX($G$22:$G$25,MATCH(LEFT(F7,2),$H$22:$H$25,0))</f>
        <v>Pengembangan Diri</v>
      </c>
      <c r="H7" s="10">
        <f t="shared" si="2"/>
        <v>3</v>
      </c>
      <c r="I7" s="9">
        <v>65</v>
      </c>
      <c r="J7" s="10" t="str" cm="1">
        <f t="array" ref="J7">INDEX($K$22:$K$28,MATCH(I7,$J$22:$J$28))</f>
        <v>D</v>
      </c>
      <c r="K7" s="10" t="str">
        <f t="shared" si="3"/>
        <v>REMIDI</v>
      </c>
      <c r="L7" s="10" cm="1">
        <f t="array" ref="L7">_xlfn.IFS(AND(D7="Teknik Informatika",I7&gt;70),L$3*5%,AND(D7="Komputer Aplikasi Bisnis",I7&gt;70),L$3*3%,AND(D7="Komputer Grafis",I7&gt;70),L$3*2%,TRUE,0)</f>
        <v>0</v>
      </c>
    </row>
    <row r="8" s="4" customFormat="1" ht="18" customHeight="1" spans="1:12">
      <c r="A8" s="9">
        <v>4</v>
      </c>
      <c r="B8" s="10" t="s">
        <v>95</v>
      </c>
      <c r="C8" s="9" t="s">
        <v>96</v>
      </c>
      <c r="D8" s="10" t="str">
        <f t="shared" si="0"/>
        <v>Teknik Informatika</v>
      </c>
      <c r="E8" s="10" t="str">
        <f t="shared" si="1"/>
        <v>2 Tahun (Diploma 2)</v>
      </c>
      <c r="F8" s="9" t="s">
        <v>94</v>
      </c>
      <c r="G8" s="10" t="str" cm="1">
        <f t="array" ref="G8">INDEX($G$22:$G$25,MATCH(LEFT(F8,2),$H$22:$H$25,0))</f>
        <v>Pengembangan Diri</v>
      </c>
      <c r="H8" s="10">
        <f t="shared" si="2"/>
        <v>3</v>
      </c>
      <c r="I8" s="9">
        <v>50</v>
      </c>
      <c r="J8" s="10" t="str" cm="1">
        <f t="array" ref="J8">INDEX($K$22:$K$28,MATCH(I8,$J$22:$J$28))</f>
        <v>D</v>
      </c>
      <c r="K8" s="10" t="str">
        <f t="shared" si="3"/>
        <v>REMIDI</v>
      </c>
      <c r="L8" s="10" cm="1">
        <f t="array" ref="L8">_xlfn.IFS(AND(D8="Teknik Informatika",I8&gt;70),L$3*5%,AND(D8="Komputer Aplikasi Bisnis",I8&gt;70),L$3*3%,AND(D8="Komputer Grafis",I8&gt;70),L$3*2%,TRUE,0)</f>
        <v>0</v>
      </c>
    </row>
    <row r="9" s="4" customFormat="1" ht="18" customHeight="1" spans="1:12">
      <c r="A9" s="9">
        <v>5</v>
      </c>
      <c r="B9" s="10" t="s">
        <v>97</v>
      </c>
      <c r="C9" s="9" t="s">
        <v>93</v>
      </c>
      <c r="D9" s="10" t="str">
        <f t="shared" si="0"/>
        <v>Teknik Informatika</v>
      </c>
      <c r="E9" s="10" t="str">
        <f t="shared" si="1"/>
        <v>1 Tahun (Diploma 1)</v>
      </c>
      <c r="F9" s="9" t="s">
        <v>94</v>
      </c>
      <c r="G9" s="10" t="str" cm="1">
        <f t="array" ref="G9">INDEX($G$22:$G$25,MATCH(LEFT(F9,2),$H$22:$H$25,0))</f>
        <v>Pengembangan Diri</v>
      </c>
      <c r="H9" s="10">
        <f t="shared" si="2"/>
        <v>3</v>
      </c>
      <c r="I9" s="9">
        <v>67</v>
      </c>
      <c r="J9" s="10" t="str" cm="1">
        <f t="array" ref="J9">INDEX($K$22:$K$28,MATCH(I9,$J$22:$J$28))</f>
        <v>C</v>
      </c>
      <c r="K9" s="10" t="str">
        <f t="shared" si="3"/>
        <v>LULUS</v>
      </c>
      <c r="L9" s="10" cm="1">
        <f t="array" ref="L9">_xlfn.IFS(AND(D9="Teknik Informatika",I9&gt;70),L$3*5%,AND(D9="Komputer Aplikasi Bisnis",I9&gt;70),L$3*3%,AND(D9="Komputer Grafis",I9&gt;70),L$3*2%,TRUE,0)</f>
        <v>0</v>
      </c>
    </row>
    <row r="10" s="4" customFormat="1" ht="18" customHeight="1" spans="1:12">
      <c r="A10" s="9">
        <v>6</v>
      </c>
      <c r="B10" s="10" t="s">
        <v>98</v>
      </c>
      <c r="C10" s="9" t="s">
        <v>99</v>
      </c>
      <c r="D10" s="10" t="str">
        <f t="shared" si="0"/>
        <v>Komputer Grafis</v>
      </c>
      <c r="E10" s="10" t="str">
        <f t="shared" si="1"/>
        <v>1 Tahun (Diploma 1)</v>
      </c>
      <c r="F10" s="9" t="s">
        <v>89</v>
      </c>
      <c r="G10" s="10" t="str" cm="1">
        <f t="array" ref="G10">INDEX($G$22:$G$25,MATCH(LEFT(F10,2),$H$22:$H$25,0))</f>
        <v>Microsoft Office</v>
      </c>
      <c r="H10" s="10">
        <f t="shared" si="2"/>
        <v>2</v>
      </c>
      <c r="I10" s="9">
        <v>98</v>
      </c>
      <c r="J10" s="10" t="str" cm="1">
        <f t="array" ref="J10">INDEX($K$22:$K$28,MATCH(I10,$J$22:$J$28))</f>
        <v>A</v>
      </c>
      <c r="K10" s="10" t="str">
        <f t="shared" si="3"/>
        <v>LULUS</v>
      </c>
      <c r="L10" s="10" cm="1">
        <f t="array" ref="L10">_xlfn.IFS(AND(D10="Teknik Informatika",I10&gt;70),L$3*5%,AND(D10="Komputer Aplikasi Bisnis",I10&gt;70),L$3*3%,AND(D10="Komputer Grafis",I10&gt;70),L$3*2%,TRUE,0)</f>
        <v>200000</v>
      </c>
    </row>
    <row r="11" s="4" customFormat="1" ht="18" customHeight="1" spans="1:12">
      <c r="A11" s="9">
        <v>7</v>
      </c>
      <c r="B11" s="10" t="s">
        <v>100</v>
      </c>
      <c r="C11" s="9" t="s">
        <v>99</v>
      </c>
      <c r="D11" s="10" t="str">
        <f t="shared" si="0"/>
        <v>Komputer Grafis</v>
      </c>
      <c r="E11" s="10" t="str">
        <f t="shared" si="1"/>
        <v>1 Tahun (Diploma 1)</v>
      </c>
      <c r="F11" s="9" t="s">
        <v>94</v>
      </c>
      <c r="G11" s="10" t="str" cm="1">
        <f t="array" ref="G11">INDEX($G$22:$G$25,MATCH(LEFT(F11,2),$H$22:$H$25,0))</f>
        <v>Pengembangan Diri</v>
      </c>
      <c r="H11" s="10">
        <f t="shared" si="2"/>
        <v>3</v>
      </c>
      <c r="I11" s="9">
        <v>88</v>
      </c>
      <c r="J11" s="10" t="str" cm="1">
        <f t="array" ref="J11">INDEX($K$22:$K$28,MATCH(I11,$J$22:$J$28))</f>
        <v>AB</v>
      </c>
      <c r="K11" s="10" t="str">
        <f t="shared" si="3"/>
        <v>LULUS</v>
      </c>
      <c r="L11" s="10" cm="1">
        <f t="array" ref="L11">_xlfn.IFS(AND(D11="Teknik Informatika",I11&gt;70),L$3*5%,AND(D11="Komputer Aplikasi Bisnis",I11&gt;70),L$3*3%,AND(D11="Komputer Grafis",I11&gt;70),L$3*2%,TRUE,0)</f>
        <v>200000</v>
      </c>
    </row>
    <row r="12" s="4" customFormat="1" ht="18" customHeight="1" spans="1:12">
      <c r="A12" s="9">
        <v>8</v>
      </c>
      <c r="B12" s="10" t="s">
        <v>101</v>
      </c>
      <c r="C12" s="9" t="s">
        <v>91</v>
      </c>
      <c r="D12" s="10" t="str">
        <f t="shared" si="0"/>
        <v>Komputer Aplikasi Bisnis</v>
      </c>
      <c r="E12" s="10" t="str">
        <f t="shared" si="1"/>
        <v>2 Tahun (Diploma 2)</v>
      </c>
      <c r="F12" s="9" t="s">
        <v>102</v>
      </c>
      <c r="G12" s="10" t="str" cm="1">
        <f t="array" ref="G12">INDEX($G$22:$G$25,MATCH(LEFT(F12,2),$H$22:$H$25,0))</f>
        <v>Mentoring Agama Islam</v>
      </c>
      <c r="H12" s="10">
        <f t="shared" si="2"/>
        <v>2</v>
      </c>
      <c r="I12" s="9">
        <v>90</v>
      </c>
      <c r="J12" s="10" t="str" cm="1">
        <f t="array" ref="J12">INDEX($K$22:$K$28,MATCH(I12,$J$22:$J$28))</f>
        <v>AB</v>
      </c>
      <c r="K12" s="10" t="str">
        <f t="shared" si="3"/>
        <v>LULUS</v>
      </c>
      <c r="L12" s="10" cm="1">
        <f t="array" ref="L12">_xlfn.IFS(AND(D12="Teknik Informatika",I12&gt;70),L$3*5%,AND(D12="Komputer Aplikasi Bisnis",I12&gt;70),L$3*3%,AND(D12="Komputer Grafis",I12&gt;70),L$3*2%,TRUE,0)</f>
        <v>300000</v>
      </c>
    </row>
    <row r="13" s="4" customFormat="1" ht="18" customHeight="1" spans="1:12">
      <c r="A13" s="9">
        <v>9</v>
      </c>
      <c r="B13" s="10" t="s">
        <v>103</v>
      </c>
      <c r="C13" s="9" t="s">
        <v>88</v>
      </c>
      <c r="D13" s="10" t="str">
        <f t="shared" si="0"/>
        <v>Komputer Aplikasi Bisnis</v>
      </c>
      <c r="E13" s="10" t="str">
        <f t="shared" si="1"/>
        <v>1 Tahun (Diploma 1)</v>
      </c>
      <c r="F13" s="9" t="s">
        <v>104</v>
      </c>
      <c r="G13" s="10" t="str" cm="1">
        <f t="array" ref="G13">INDEX($G$22:$G$25,MATCH(LEFT(F13,2),$H$22:$H$25,0))</f>
        <v>Speedtyping</v>
      </c>
      <c r="H13" s="10">
        <f t="shared" si="2"/>
        <v>2</v>
      </c>
      <c r="I13" s="9">
        <v>45</v>
      </c>
      <c r="J13" s="10" t="str" cm="1">
        <f t="array" ref="J13">INDEX($K$22:$K$28,MATCH(I13,$J$22:$J$28))</f>
        <v>E</v>
      </c>
      <c r="K13" s="10" t="str">
        <f t="shared" si="3"/>
        <v>REMIDI</v>
      </c>
      <c r="L13" s="10" cm="1">
        <f t="array" ref="L13">_xlfn.IFS(AND(D13="Teknik Informatika",I13&gt;70),L$3*5%,AND(D13="Komputer Aplikasi Bisnis",I13&gt;70),L$3*3%,AND(D13="Komputer Grafis",I13&gt;70),L$3*2%,TRUE,0)</f>
        <v>0</v>
      </c>
    </row>
    <row r="14" s="4" customFormat="1" ht="18" customHeight="1" spans="1:12">
      <c r="A14" s="9">
        <v>10</v>
      </c>
      <c r="B14" s="10" t="s">
        <v>105</v>
      </c>
      <c r="C14" s="9" t="s">
        <v>96</v>
      </c>
      <c r="D14" s="10" t="str">
        <f t="shared" si="0"/>
        <v>Teknik Informatika</v>
      </c>
      <c r="E14" s="10" t="str">
        <f t="shared" si="1"/>
        <v>2 Tahun (Diploma 2)</v>
      </c>
      <c r="F14" s="9" t="s">
        <v>104</v>
      </c>
      <c r="G14" s="10" t="str" cm="1">
        <f t="array" ref="G14">INDEX($G$22:$G$25,MATCH(LEFT(F14,2),$H$22:$H$25,0))</f>
        <v>Speedtyping</v>
      </c>
      <c r="H14" s="10">
        <f t="shared" si="2"/>
        <v>2</v>
      </c>
      <c r="I14" s="9">
        <v>55</v>
      </c>
      <c r="J14" s="10" t="str" cm="1">
        <f t="array" ref="J14">INDEX($K$22:$K$28,MATCH(I14,$J$22:$J$28))</f>
        <v>D</v>
      </c>
      <c r="K14" s="10" t="str">
        <f t="shared" si="3"/>
        <v>REMIDI</v>
      </c>
      <c r="L14" s="10" cm="1">
        <f t="array" ref="L14">_xlfn.IFS(AND(D14="Teknik Informatika",I14&gt;70),L$3*5%,AND(D14="Komputer Aplikasi Bisnis",I14&gt;70),L$3*3%,AND(D14="Komputer Grafis",I14&gt;70),L$3*2%,TRUE,0)</f>
        <v>0</v>
      </c>
    </row>
    <row r="15" s="4" customFormat="1" ht="18" customHeight="1" spans="1:12">
      <c r="A15" s="9">
        <v>11</v>
      </c>
      <c r="B15" s="10" t="s">
        <v>106</v>
      </c>
      <c r="C15" s="9" t="s">
        <v>96</v>
      </c>
      <c r="D15" s="10" t="str">
        <f t="shared" si="0"/>
        <v>Teknik Informatika</v>
      </c>
      <c r="E15" s="10" t="str">
        <f t="shared" si="1"/>
        <v>2 Tahun (Diploma 2)</v>
      </c>
      <c r="F15" s="9" t="s">
        <v>102</v>
      </c>
      <c r="G15" s="10" t="str" cm="1">
        <f t="array" ref="G15">INDEX($G$22:$G$25,MATCH(LEFT(F15,2),$H$22:$H$25,0))</f>
        <v>Mentoring Agama Islam</v>
      </c>
      <c r="H15" s="10">
        <f t="shared" si="2"/>
        <v>2</v>
      </c>
      <c r="I15" s="9">
        <v>48</v>
      </c>
      <c r="J15" s="10" t="str" cm="1">
        <f t="array" ref="J15">INDEX($K$22:$K$28,MATCH(I15,$J$22:$J$28))</f>
        <v>E</v>
      </c>
      <c r="K15" s="10" t="str">
        <f t="shared" si="3"/>
        <v>REMIDI</v>
      </c>
      <c r="L15" s="10" cm="1">
        <f t="array" ref="L15">_xlfn.IFS(AND(D15="Teknik Informatika",I15&gt;70),L$3*5%,AND(D15="Komputer Aplikasi Bisnis",I15&gt;70),L$3*3%,AND(D15="Komputer Grafis",I15&gt;70),L$3*2%,TRUE,0)</f>
        <v>0</v>
      </c>
    </row>
    <row r="16" s="4" customFormat="1" ht="18" customHeight="1" spans="1:9">
      <c r="A16" s="7" t="s">
        <v>107</v>
      </c>
      <c r="B16" s="7"/>
      <c r="C16" s="7"/>
      <c r="D16" s="7"/>
      <c r="E16" s="7"/>
      <c r="F16" s="7"/>
      <c r="G16" s="7"/>
      <c r="H16" s="7"/>
      <c r="I16" s="17">
        <f>COUNTIFS(D5:D15,"Teknik Informatika",I5:I15,"&gt;50")</f>
        <v>3</v>
      </c>
    </row>
    <row r="17" s="4" customFormat="1" ht="18" customHeight="1" spans="1:9">
      <c r="A17" s="7" t="s">
        <v>108</v>
      </c>
      <c r="B17" s="7"/>
      <c r="C17" s="7"/>
      <c r="D17" s="7"/>
      <c r="E17" s="7"/>
      <c r="F17" s="7"/>
      <c r="G17" s="7"/>
      <c r="H17" s="7"/>
      <c r="I17" s="17">
        <f>SUMIF(D5:D15,"Komputer Aplikasi Bisnis",I5:I15)</f>
        <v>235</v>
      </c>
    </row>
    <row r="18" s="4" customFormat="1" ht="18" customHeight="1" spans="1:9">
      <c r="A18" s="7" t="s">
        <v>109</v>
      </c>
      <c r="B18" s="7"/>
      <c r="C18" s="7"/>
      <c r="D18" s="7"/>
      <c r="E18" s="7"/>
      <c r="F18" s="7"/>
      <c r="G18" s="7"/>
      <c r="H18" s="7"/>
      <c r="I18" s="17">
        <f>COUNTIF(I5:I15,"&gt;60")</f>
        <v>6</v>
      </c>
    </row>
    <row r="20" s="2" customFormat="1" spans="1:10">
      <c r="A20" s="11" t="s">
        <v>110</v>
      </c>
      <c r="D20" s="11" t="s">
        <v>111</v>
      </c>
      <c r="G20" s="11" t="s">
        <v>112</v>
      </c>
      <c r="J20" s="11" t="s">
        <v>113</v>
      </c>
    </row>
    <row r="21" s="2" customFormat="1" ht="33.75" customHeight="1" spans="1:11">
      <c r="A21" s="7" t="s">
        <v>114</v>
      </c>
      <c r="B21" s="7" t="s">
        <v>78</v>
      </c>
      <c r="D21" s="7" t="s">
        <v>114</v>
      </c>
      <c r="E21" s="7" t="s">
        <v>79</v>
      </c>
      <c r="G21" s="7" t="s">
        <v>81</v>
      </c>
      <c r="H21" s="7" t="s">
        <v>114</v>
      </c>
      <c r="J21" s="8" t="s">
        <v>83</v>
      </c>
      <c r="K21" s="7" t="s">
        <v>84</v>
      </c>
    </row>
    <row r="22" s="4" customFormat="1" ht="20.25" customHeight="1" spans="1:11">
      <c r="A22" s="9" t="s">
        <v>115</v>
      </c>
      <c r="B22" s="10" t="s">
        <v>116</v>
      </c>
      <c r="D22" s="9">
        <v>1</v>
      </c>
      <c r="E22" s="10" t="s">
        <v>117</v>
      </c>
      <c r="G22" s="10" t="s">
        <v>118</v>
      </c>
      <c r="H22" s="9" t="s">
        <v>119</v>
      </c>
      <c r="J22" s="9">
        <v>0</v>
      </c>
      <c r="K22" s="9" t="s">
        <v>16</v>
      </c>
    </row>
    <row r="23" s="4" customFormat="1" ht="20.25" customHeight="1" spans="1:11">
      <c r="A23" s="9" t="s">
        <v>120</v>
      </c>
      <c r="B23" s="10" t="s">
        <v>121</v>
      </c>
      <c r="D23" s="9">
        <v>2</v>
      </c>
      <c r="E23" s="10" t="s">
        <v>122</v>
      </c>
      <c r="G23" s="10" t="s">
        <v>123</v>
      </c>
      <c r="H23" s="9" t="s">
        <v>124</v>
      </c>
      <c r="J23" s="9">
        <v>50</v>
      </c>
      <c r="K23" s="9" t="s">
        <v>125</v>
      </c>
    </row>
    <row r="24" s="4" customFormat="1" ht="21" customHeight="1" spans="1:11">
      <c r="A24" s="9" t="s">
        <v>126</v>
      </c>
      <c r="B24" s="10" t="s">
        <v>127</v>
      </c>
      <c r="G24" s="10" t="s">
        <v>128</v>
      </c>
      <c r="H24" s="9" t="s">
        <v>129</v>
      </c>
      <c r="J24" s="9">
        <v>66</v>
      </c>
      <c r="K24" s="9" t="s">
        <v>130</v>
      </c>
    </row>
    <row r="25" s="2" customFormat="1" ht="18" customHeight="1" spans="7:11">
      <c r="G25" s="12" t="s">
        <v>131</v>
      </c>
      <c r="H25" s="13" t="s">
        <v>132</v>
      </c>
      <c r="J25" s="9">
        <v>76</v>
      </c>
      <c r="K25" s="9" t="s">
        <v>133</v>
      </c>
    </row>
    <row r="26" s="2" customFormat="1" ht="17.25" customHeight="1" spans="8:11">
      <c r="H26" s="14"/>
      <c r="J26" s="9">
        <v>81</v>
      </c>
      <c r="K26" s="9" t="s">
        <v>19</v>
      </c>
    </row>
    <row r="27" s="2" customFormat="1" ht="17.25" customHeight="1" spans="10:11">
      <c r="J27" s="9">
        <v>85</v>
      </c>
      <c r="K27" s="9" t="s">
        <v>134</v>
      </c>
    </row>
    <row r="28" s="2" customFormat="1" ht="17.25" customHeight="1" spans="10:11">
      <c r="J28" s="9">
        <v>91</v>
      </c>
      <c r="K28" s="9" t="s">
        <v>135</v>
      </c>
    </row>
    <row r="29" s="2" customFormat="1" ht="17.25" customHeight="1" spans="1:1">
      <c r="A29" s="15" t="s">
        <v>136</v>
      </c>
    </row>
    <row r="30" s="4" customFormat="1" ht="17.25" customHeight="1" spans="1:1">
      <c r="A30" s="4" t="s">
        <v>137</v>
      </c>
    </row>
    <row r="31" s="4" customFormat="1" ht="17.25" customHeight="1" spans="1:1">
      <c r="A31" s="4" t="s">
        <v>138</v>
      </c>
    </row>
    <row r="32" s="4" customFormat="1" ht="17.25" customHeight="1" spans="1:20">
      <c r="A32" s="4" t="s">
        <v>139</v>
      </c>
      <c r="T32" s="4">
        <f ca="1">T32:U40</f>
        <v>0</v>
      </c>
    </row>
    <row r="33" s="4" customFormat="1" ht="17.25" customHeight="1" spans="1:1">
      <c r="A33" s="4" t="s">
        <v>140</v>
      </c>
    </row>
    <row r="34" s="4" customFormat="1" ht="17.25" customHeight="1" spans="1:1">
      <c r="A34" s="4" t="s">
        <v>141</v>
      </c>
    </row>
    <row r="35" s="4" customFormat="1" ht="17.25" customHeight="1" spans="1:1">
      <c r="A35" s="4" t="s">
        <v>142</v>
      </c>
    </row>
    <row r="36" s="4" customFormat="1" ht="17.25" customHeight="1" spans="1:1">
      <c r="A36" s="4" t="s">
        <v>143</v>
      </c>
    </row>
    <row r="37" s="4" customFormat="1" ht="17.25" customHeight="1" spans="1:1">
      <c r="A37" s="4" t="s">
        <v>144</v>
      </c>
    </row>
    <row r="38" s="4" customFormat="1" ht="17.25" customHeight="1" spans="1:1">
      <c r="A38" s="4" t="s">
        <v>145</v>
      </c>
    </row>
    <row r="39" s="4" customFormat="1" ht="17.25" customHeight="1" spans="1:1">
      <c r="A39" s="4" t="s">
        <v>146</v>
      </c>
    </row>
    <row r="40" s="4" customFormat="1" ht="17.25" customHeight="1" spans="1:1">
      <c r="A40" s="4" t="s">
        <v>147</v>
      </c>
    </row>
  </sheetData>
  <mergeCells count="3">
    <mergeCell ref="A16:H16"/>
    <mergeCell ref="A17:H17"/>
    <mergeCell ref="A18:H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Student Grade Lookup</vt:lpstr>
      <vt:lpstr>Car Rental Lookup</vt:lpstr>
      <vt:lpstr>Integrated Data Retrieval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SISIBOOK</dc:creator>
  <cp:lastModifiedBy>Bayu Ali</cp:lastModifiedBy>
  <dcterms:created xsi:type="dcterms:W3CDTF">2026-09-15T16:31:00Z</dcterms:created>
  <dcterms:modified xsi:type="dcterms:W3CDTF">2026-09-16T06:07:24Z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0185C701EE2344A0B3944533F5D13765_11</vt:lpwstr>
  </property>
  <property fmtid="{D5CDD505-2E9C-101B-9397-08002B2CF9AE}" pid="3" name="KSOProductBuildVer">
    <vt:lpwstr>2057-12.2.0.23206</vt:lpwstr>
  </property>
</Properties>
</file>