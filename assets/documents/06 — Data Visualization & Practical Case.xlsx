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710" activeTab="1"/>
  </bookViews>
  <sheets>
    <sheet name="Sales Data Visualization" sheetId="1" r:id="rId1"/>
    <sheet name="Employee Performance Analysis" sheetId="2" r:id="rId2"/>
    <sheet name="Data Visualization &amp; Practical " sheetId="3" r:id="rId3"/>
  </sheets>
  <externalReferences>
    <externalReference r:id="rId4"/>
    <externalReference r:id="rId5"/>
    <externalReference r:id="rId6"/>
  </externalReferences>
  <definedNames>
    <definedName name="gajipokok">'[1]Studi kasus 2 1 jumat'!$H$35:$L$39</definedName>
    <definedName name="NATA">[3]Sheet14!$N$9:$P$14</definedName>
    <definedName name="BISNIS">'[2]Studi Kasus 2 Jumat Soal 2'!$G$23:$I$25</definedName>
    <definedName name="EKONOMI">'[2]Studi Kasus 2 Jumat Soal 2'!$G$26:$I$28</definedName>
    <definedName name="kolombisnis">'[2]Studi Kasus 2 Jumat Soal 2'!$G$23:$J$25</definedName>
    <definedName name="kolomekonomi">'[2]Studi Kasus 2 Jumat Soal 2'!$G$26:$J$28</definedName>
    <definedName name="kolomvip">'[2]Studi Kasus 2 Jumat Soal 2'!$G$20:$J$22</definedName>
    <definedName name="VIP">'[2]Studi Kasus 2 Jumat Soal 2'!$G$20:$I$22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<sst xmlns="http://schemas.openxmlformats.org/spreadsheetml/2006/main" count="180" uniqueCount="144">
  <si>
    <t>No</t>
  </si>
  <si>
    <t>Tanggal</t>
  </si>
  <si>
    <t>Sales</t>
  </si>
  <si>
    <t>Kota</t>
  </si>
  <si>
    <t>Kategori</t>
  </si>
  <si>
    <t>Produk</t>
  </si>
  <si>
    <t>Harga Satuan</t>
  </si>
  <si>
    <t>Jumlah Terjual</t>
  </si>
  <si>
    <t>Total Penjualan</t>
  </si>
  <si>
    <t>Metode Pembayaran</t>
  </si>
  <si>
    <t>Andi</t>
  </si>
  <si>
    <t>Surabaya</t>
  </si>
  <si>
    <t>Laptop</t>
  </si>
  <si>
    <t>ASUS Vivobook</t>
  </si>
  <si>
    <t>Transfer</t>
  </si>
  <si>
    <t>Budi</t>
  </si>
  <si>
    <t>Malang</t>
  </si>
  <si>
    <t>Lenovo IdeaPad</t>
  </si>
  <si>
    <t>Tunai</t>
  </si>
  <si>
    <t>Citra</t>
  </si>
  <si>
    <t>Mojokerto</t>
  </si>
  <si>
    <t>Printer</t>
  </si>
  <si>
    <t>Epson L3210</t>
  </si>
  <si>
    <t>QRIS</t>
  </si>
  <si>
    <t>Dedi</t>
  </si>
  <si>
    <t>Banyuwangi</t>
  </si>
  <si>
    <t>Monitor</t>
  </si>
  <si>
    <t>LG 24"</t>
  </si>
  <si>
    <t>Eka</t>
  </si>
  <si>
    <t>Probolinggo</t>
  </si>
  <si>
    <t>Keyboard</t>
  </si>
  <si>
    <t>Logitech K120</t>
  </si>
  <si>
    <t>Dika</t>
  </si>
  <si>
    <t>Situbondo</t>
  </si>
  <si>
    <t>Mouse</t>
  </si>
  <si>
    <t>Logitech M170</t>
  </si>
  <si>
    <t>Putra</t>
  </si>
  <si>
    <t>Lumajang</t>
  </si>
  <si>
    <t>Flashdisk</t>
  </si>
  <si>
    <t>Sandisk 64GB</t>
  </si>
  <si>
    <t>Dicky</t>
  </si>
  <si>
    <t>Blitar</t>
  </si>
  <si>
    <t>Acer Aspire</t>
  </si>
  <si>
    <t>Rosa</t>
  </si>
  <si>
    <t>Madiun</t>
  </si>
  <si>
    <t>Canon G3020</t>
  </si>
  <si>
    <t>Rudi</t>
  </si>
  <si>
    <t>Ponorogo</t>
  </si>
  <si>
    <t>Samsung 27"</t>
  </si>
  <si>
    <t>1. Column Chart</t>
  </si>
  <si>
    <r>
      <rPr>
        <sz val="11"/>
        <color theme="1"/>
        <rFont val="Calibri"/>
        <charset val="134"/>
      </rPr>
      <t xml:space="preserve">Penjualan berdasarkan </t>
    </r>
    <r>
      <rPr>
        <b/>
        <sz val="11"/>
        <color theme="1"/>
        <rFont val="Calibri"/>
        <charset val="134"/>
      </rPr>
      <t>Kota</t>
    </r>
  </si>
  <si>
    <r>
      <rPr>
        <sz val="11"/>
        <color theme="1"/>
        <rFont val="Calibri"/>
        <charset val="134"/>
      </rPr>
      <t xml:space="preserve">Penjualan berdasarkan </t>
    </r>
    <r>
      <rPr>
        <b/>
        <sz val="11"/>
        <color theme="1"/>
        <rFont val="Calibri"/>
        <charset val="134"/>
      </rPr>
      <t>Sales</t>
    </r>
  </si>
  <si>
    <t>Jumlah Terjual berdasarkan sales</t>
  </si>
  <si>
    <t>Total Penjualan berdasarkan Sales</t>
  </si>
  <si>
    <t>5 MENIT</t>
  </si>
  <si>
    <t>latman17</t>
  </si>
  <si>
    <t>DAFTAR NILAI KELAS IIB</t>
  </si>
  <si>
    <t>SMK NEGERI 5 SURABAYA</t>
  </si>
  <si>
    <t>Nama Siswa</t>
  </si>
  <si>
    <t>Mata Pelajaran</t>
  </si>
  <si>
    <t>Nilai Rata - rata</t>
  </si>
  <si>
    <t>Nilai Huruf</t>
  </si>
  <si>
    <t>Rangking</t>
  </si>
  <si>
    <t>Penentuan Jurusan</t>
  </si>
  <si>
    <t>Daftar Nilai</t>
  </si>
  <si>
    <t>PPKn</t>
  </si>
  <si>
    <t>Bhs. Indonesia</t>
  </si>
  <si>
    <t>Kimia</t>
  </si>
  <si>
    <t>Fisika</t>
  </si>
  <si>
    <t>Nilai</t>
  </si>
  <si>
    <t>Indriyanto</t>
  </si>
  <si>
    <t>0-60</t>
  </si>
  <si>
    <t>D</t>
  </si>
  <si>
    <t>Sartono</t>
  </si>
  <si>
    <t>61-70</t>
  </si>
  <si>
    <t>C</t>
  </si>
  <si>
    <t>Heru Nugroho</t>
  </si>
  <si>
    <t>71-80</t>
  </si>
  <si>
    <t>B</t>
  </si>
  <si>
    <t>Rizky</t>
  </si>
  <si>
    <t>&gt;=81</t>
  </si>
  <si>
    <t>A</t>
  </si>
  <si>
    <t>Mardiana</t>
  </si>
  <si>
    <t>Wulandari</t>
  </si>
  <si>
    <t>Salma</t>
  </si>
  <si>
    <t>Khairullah</t>
  </si>
  <si>
    <t>Kurniati</t>
  </si>
  <si>
    <t>Firmansyah</t>
  </si>
  <si>
    <t>Ketentuan :</t>
  </si>
  <si>
    <t>1. Nilai Rata - rata merupakan rata-rata dari nilai PPKn, Bhs. Indonesia, Kimia dan Fisika</t>
  </si>
  <si>
    <t>2. Nilai Huruf diperoleh dari tabel Daftar Nilai dengan menggunakan fungsi if</t>
  </si>
  <si>
    <t>3. Tentukan rangking nilai untuk setiap siswa dengan menggunakan fungsi RANK</t>
  </si>
  <si>
    <t>4.Penentuan Jurusan</t>
  </si>
  <si>
    <t>-Jurusan IPA jika Nilai Kimia&gt;80,Nilai Fisika&gt;85</t>
  </si>
  <si>
    <t>-Jurusan Bahasa Jika Nilai Bahasa Indonesia&gt;80, Nilai PPKn&gt;80</t>
  </si>
  <si>
    <t>-Yang tidak memenuhi syarat di atas masuk Jurusan IPS</t>
  </si>
  <si>
    <t>SOAL 2 (POINT : 25)</t>
  </si>
  <si>
    <t>DATA PENYEWA HOTEL KOCH-KOCH TUHAI</t>
  </si>
  <si>
    <t>Tanggal Sekarang</t>
  </si>
  <si>
    <t>Nama Tamu</t>
  </si>
  <si>
    <t>Tanggal chek in</t>
  </si>
  <si>
    <t>Kode Kamar</t>
  </si>
  <si>
    <t>Jenis Kamar</t>
  </si>
  <si>
    <t>Nomor Kamar</t>
  </si>
  <si>
    <t>Nama Kamar</t>
  </si>
  <si>
    <t>Tarif/Day</t>
  </si>
  <si>
    <t>Lama Inap</t>
  </si>
  <si>
    <t>Potongan</t>
  </si>
  <si>
    <t>Total</t>
  </si>
  <si>
    <t xml:space="preserve"> V01M </t>
  </si>
  <si>
    <t xml:space="preserve"> V02A </t>
  </si>
  <si>
    <t xml:space="preserve"> V03C </t>
  </si>
  <si>
    <t xml:space="preserve"> B04A </t>
  </si>
  <si>
    <t xml:space="preserve"> B01C </t>
  </si>
  <si>
    <t xml:space="preserve"> E01C </t>
  </si>
  <si>
    <t xml:space="preserve"> E02C </t>
  </si>
  <si>
    <t xml:space="preserve"> E03A </t>
  </si>
  <si>
    <t xml:space="preserve"> B02C </t>
  </si>
  <si>
    <t xml:space="preserve"> B03M </t>
  </si>
  <si>
    <t xml:space="preserve"> V04M </t>
  </si>
  <si>
    <t>Tabel Jenis Kamar</t>
  </si>
  <si>
    <t>Tabel Nama Kamar</t>
  </si>
  <si>
    <t>Tabel Tarif</t>
  </si>
  <si>
    <t>Kode</t>
  </si>
  <si>
    <t>V</t>
  </si>
  <si>
    <t>VIP</t>
  </si>
  <si>
    <t>M</t>
  </si>
  <si>
    <t>Mawar</t>
  </si>
  <si>
    <t>Bisnis</t>
  </si>
  <si>
    <t>Anggrek</t>
  </si>
  <si>
    <t>E</t>
  </si>
  <si>
    <t>Ekonomi</t>
  </si>
  <si>
    <t>Cempaka</t>
  </si>
  <si>
    <t>Ketentuan Soal</t>
  </si>
  <si>
    <t>1. Nama Tamu diambil dari Soal 1 Kolom Nama</t>
  </si>
  <si>
    <t>2. Jenis kamar berdasarkan tabel jenis kamar</t>
  </si>
  <si>
    <t>3. Nomor Kamar berasal dari Digit kedua dan ketiga pada Kode Kamar</t>
  </si>
  <si>
    <t>4. Nama Kamar berdasarkan tabel nama kamar</t>
  </si>
  <si>
    <t>5. Tarif/Day berdasarkan tabel tarif</t>
  </si>
  <si>
    <t>6. Lama inap selisih hari antara tanggal check out dan tanggal check in</t>
  </si>
  <si>
    <t>7. Potongan berdasarkan tabel tarif, diberikan kepada tamu yang menginap lebih dari 10 hari, potongan berupa persentase di tabel * tarif perhari * kelebihan dari hari tersebut</t>
  </si>
  <si>
    <t>contoh : lama inap 15 hari maka kelebihan harinya adalah 5</t>
  </si>
  <si>
    <t>8. PPN 10% dari tarif perhari x lama inap - potongan (10%nya jangan diketik manual….)</t>
  </si>
  <si>
    <t>9. Total merupakan tarif perhari x lama inap - potongan + ppn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</si>
</sst>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\-mmmm\-yyyy"/>
    <numFmt numFmtId="181" formatCode="_(&quot;Rp&quot;* #,##0_);_(&quot;Rp&quot;* \(#,##0\);_(&quot;Rp&quot;* &quot;-&quot;_);_(@_)"/>
    <numFmt numFmtId="182" formatCode="&quot;PPN&quot;\ 0%"/>
    <numFmt numFmtId="183" formatCode="_-&quot;Rp&quot;* #,##0_-;\-&quot;Rp&quot;* #,##0_-;_-&quot;Rp&quot;* &quot;-&quot;_-;_-@_-"/>
  </numFmts>
  <fonts count="32">
    <font>
      <sz val="11"/>
      <color theme="1"/>
      <name val="Calibri"/>
      <charset val="134"/>
      <scheme val="minor"/>
    </font>
    <font>
      <b/>
      <sz val="14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Arial"/>
      <charset val="134"/>
    </font>
    <font>
      <b/>
      <sz val="11"/>
      <color theme="1"/>
      <name val="Arial"/>
      <charset val="134"/>
    </font>
    <font>
      <b/>
      <sz val="10"/>
      <color theme="1"/>
      <name val="Arial"/>
      <charset val="134"/>
    </font>
    <font>
      <sz val="13"/>
      <name val="Book Antiqua"/>
      <charset val="134"/>
    </font>
    <font>
      <b/>
      <sz val="13"/>
      <name val="Book Antiqua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3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Times New Roman"/>
      <charset val="134"/>
    </font>
    <font>
      <sz val="11"/>
      <color theme="1"/>
      <name val="Calibri"/>
      <charset val="1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20" applyNumberFormat="0" applyAlignment="0" applyProtection="0">
      <alignment vertical="center"/>
    </xf>
    <xf numFmtId="0" fontId="20" fillId="8" borderId="21" applyNumberFormat="0" applyAlignment="0" applyProtection="0">
      <alignment vertical="center"/>
    </xf>
    <xf numFmtId="0" fontId="21" fillId="8" borderId="20" applyNumberFormat="0" applyAlignment="0" applyProtection="0">
      <alignment vertical="center"/>
    </xf>
    <xf numFmtId="0" fontId="22" fillId="9" borderId="22" applyNumberFormat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30" fillId="0" borderId="0"/>
    <xf numFmtId="0" fontId="31" fillId="0" borderId="0"/>
    <xf numFmtId="178" fontId="31" fillId="0" borderId="0" applyFont="0" applyFill="0" applyBorder="0" applyAlignment="0" applyProtection="0"/>
  </cellStyleXfs>
  <cellXfs count="66">
    <xf numFmtId="0" fontId="0" fillId="0" borderId="0" xfId="0">
      <alignment vertical="center"/>
    </xf>
    <xf numFmtId="0" fontId="1" fillId="2" borderId="0" xfId="50" applyFont="1" applyFill="1"/>
    <xf numFmtId="0" fontId="2" fillId="0" borderId="0" xfId="50" applyFont="1"/>
    <xf numFmtId="0" fontId="3" fillId="0" borderId="0" xfId="50" applyFont="1"/>
    <xf numFmtId="0" fontId="3" fillId="0" borderId="0" xfId="50" applyFont="1" applyAlignment="1">
      <alignment horizontal="center" vertical="center"/>
    </xf>
    <xf numFmtId="0" fontId="4" fillId="0" borderId="0" xfId="50" applyFont="1"/>
    <xf numFmtId="0" fontId="5" fillId="2" borderId="1" xfId="50" applyFont="1" applyFill="1" applyBorder="1" applyAlignment="1">
      <alignment horizontal="center" vertical="center"/>
    </xf>
    <xf numFmtId="180" fontId="5" fillId="2" borderId="1" xfId="50" applyNumberFormat="1" applyFont="1" applyFill="1" applyBorder="1" applyAlignment="1">
      <alignment horizontal="center" vertical="center"/>
    </xf>
    <xf numFmtId="0" fontId="5" fillId="2" borderId="2" xfId="50" applyFont="1" applyFill="1" applyBorder="1" applyAlignment="1">
      <alignment horizontal="center" vertical="center"/>
    </xf>
    <xf numFmtId="0" fontId="5" fillId="2" borderId="2" xfId="50" applyFont="1" applyFill="1" applyBorder="1" applyAlignment="1">
      <alignment horizontal="center" vertical="center" wrapText="1"/>
    </xf>
    <xf numFmtId="0" fontId="3" fillId="0" borderId="2" xfId="50" applyFont="1" applyBorder="1" applyAlignment="1">
      <alignment horizontal="center" vertical="center"/>
    </xf>
    <xf numFmtId="0" fontId="3" fillId="3" borderId="2" xfId="50" applyFont="1" applyFill="1" applyBorder="1" applyAlignment="1">
      <alignment vertical="center"/>
    </xf>
    <xf numFmtId="180" fontId="3" fillId="0" borderId="2" xfId="50" applyNumberFormat="1" applyFont="1" applyBorder="1" applyAlignment="1">
      <alignment horizontal="center" vertical="center"/>
    </xf>
    <xf numFmtId="181" fontId="3" fillId="0" borderId="2" xfId="51" applyNumberFormat="1" applyFont="1" applyBorder="1" applyAlignment="1">
      <alignment vertical="center"/>
    </xf>
    <xf numFmtId="0" fontId="5" fillId="0" borderId="0" xfId="50" applyFont="1"/>
    <xf numFmtId="0" fontId="3" fillId="0" borderId="2" xfId="50" applyFont="1" applyBorder="1"/>
    <xf numFmtId="0" fontId="3" fillId="0" borderId="1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182" fontId="5" fillId="2" borderId="2" xfId="50" applyNumberFormat="1" applyFont="1" applyFill="1" applyBorder="1" applyAlignment="1">
      <alignment horizontal="center" vertical="center" wrapText="1"/>
    </xf>
    <xf numFmtId="181" fontId="3" fillId="0" borderId="2" xfId="50" applyNumberFormat="1" applyFont="1" applyBorder="1" applyAlignment="1">
      <alignment vertical="center"/>
    </xf>
    <xf numFmtId="183" fontId="3" fillId="0" borderId="2" xfId="50" applyNumberFormat="1" applyFont="1" applyBorder="1"/>
    <xf numFmtId="0" fontId="3" fillId="0" borderId="0" xfId="50" applyFont="1" applyAlignment="1">
      <alignment wrapText="1"/>
    </xf>
    <xf numFmtId="178" fontId="3" fillId="0" borderId="2" xfId="51" applyFont="1" applyBorder="1"/>
    <xf numFmtId="9" fontId="3" fillId="0" borderId="2" xfId="50" applyNumberFormat="1" applyFont="1" applyBorder="1" applyAlignment="1">
      <alignment horizontal="center"/>
    </xf>
    <xf numFmtId="0" fontId="6" fillId="0" borderId="0" xfId="49" applyFont="1"/>
    <xf numFmtId="0" fontId="7" fillId="0" borderId="0" xfId="49" applyFont="1"/>
    <xf numFmtId="0" fontId="6" fillId="0" borderId="0" xfId="49" applyFont="1" applyAlignment="1">
      <alignment horizontal="centerContinuous"/>
    </xf>
    <xf numFmtId="0" fontId="7" fillId="0" borderId="0" xfId="49" applyFont="1" applyAlignment="1">
      <alignment horizontal="centerContinuous"/>
    </xf>
    <xf numFmtId="0" fontId="6" fillId="0" borderId="5" xfId="49" applyFont="1" applyBorder="1" applyAlignment="1">
      <alignment horizontal="centerContinuous" vertical="center"/>
    </xf>
    <xf numFmtId="0" fontId="6" fillId="0" borderId="6" xfId="49" applyFont="1" applyBorder="1" applyAlignment="1">
      <alignment horizontal="centerContinuous" vertical="center"/>
    </xf>
    <xf numFmtId="0" fontId="6" fillId="0" borderId="6" xfId="49" applyFont="1" applyBorder="1" applyAlignment="1">
      <alignment horizontal="centerContinuous"/>
    </xf>
    <xf numFmtId="0" fontId="6" fillId="0" borderId="6" xfId="49" applyFont="1" applyBorder="1" applyAlignment="1">
      <alignment horizontal="centerContinuous" vertical="justify"/>
    </xf>
    <xf numFmtId="0" fontId="6" fillId="0" borderId="7" xfId="49" applyFont="1" applyBorder="1" applyAlignment="1">
      <alignment horizontal="centerContinuous" vertical="center"/>
    </xf>
    <xf numFmtId="0" fontId="6" fillId="0" borderId="8" xfId="49" applyFont="1" applyBorder="1" applyAlignment="1">
      <alignment horizontal="centerContinuous" vertical="center"/>
    </xf>
    <xf numFmtId="0" fontId="6" fillId="0" borderId="8" xfId="49" applyFont="1" applyBorder="1"/>
    <xf numFmtId="0" fontId="6" fillId="0" borderId="8" xfId="49" applyFont="1" applyBorder="1" applyAlignment="1">
      <alignment horizontal="centerContinuous" vertical="justify"/>
    </xf>
    <xf numFmtId="0" fontId="6" fillId="0" borderId="5" xfId="49" applyFont="1" applyBorder="1" applyAlignment="1">
      <alignment horizontal="center"/>
    </xf>
    <xf numFmtId="0" fontId="6" fillId="0" borderId="6" xfId="49" applyFont="1" applyBorder="1"/>
    <xf numFmtId="0" fontId="6" fillId="0" borderId="6" xfId="49" applyFont="1" applyBorder="1" applyAlignment="1">
      <alignment horizontal="center"/>
    </xf>
    <xf numFmtId="0" fontId="6" fillId="4" borderId="6" xfId="49" applyFont="1" applyFill="1" applyBorder="1"/>
    <xf numFmtId="0" fontId="6" fillId="0" borderId="9" xfId="49" applyFont="1" applyBorder="1" applyAlignment="1">
      <alignment horizontal="center"/>
    </xf>
    <xf numFmtId="0" fontId="6" fillId="0" borderId="2" xfId="49" applyFont="1" applyBorder="1"/>
    <xf numFmtId="0" fontId="6" fillId="0" borderId="2" xfId="49" applyFont="1" applyBorder="1" applyAlignment="1">
      <alignment horizontal="center"/>
    </xf>
    <xf numFmtId="0" fontId="6" fillId="0" borderId="7" xfId="49" applyFont="1" applyBorder="1" applyAlignment="1">
      <alignment horizontal="center"/>
    </xf>
    <xf numFmtId="0" fontId="6" fillId="0" borderId="8" xfId="49" applyFont="1" applyBorder="1" applyAlignment="1">
      <alignment horizontal="center"/>
    </xf>
    <xf numFmtId="0" fontId="6" fillId="0" borderId="10" xfId="49" applyFont="1" applyBorder="1" applyAlignment="1">
      <alignment horizontal="centerContinuous" vertical="center"/>
    </xf>
    <xf numFmtId="0" fontId="6" fillId="0" borderId="2" xfId="49" applyFont="1" applyBorder="1" applyAlignment="1">
      <alignment horizontal="center" vertical="center" wrapText="1"/>
    </xf>
    <xf numFmtId="0" fontId="6" fillId="5" borderId="11" xfId="49" applyFont="1" applyFill="1" applyBorder="1" applyAlignment="1">
      <alignment horizontal="centerContinuous"/>
    </xf>
    <xf numFmtId="0" fontId="6" fillId="5" borderId="12" xfId="49" applyFont="1" applyFill="1" applyBorder="1" applyAlignment="1">
      <alignment horizontal="centerContinuous"/>
    </xf>
    <xf numFmtId="0" fontId="6" fillId="0" borderId="13" xfId="49" applyFont="1" applyBorder="1" applyAlignment="1">
      <alignment horizontal="centerContinuous" vertical="center"/>
    </xf>
    <xf numFmtId="0" fontId="6" fillId="0" borderId="11" xfId="49" applyFont="1" applyBorder="1" applyAlignment="1">
      <alignment horizontal="center"/>
    </xf>
    <xf numFmtId="0" fontId="6" fillId="0" borderId="12" xfId="49" applyFont="1" applyBorder="1" applyAlignment="1">
      <alignment horizontal="center"/>
    </xf>
    <xf numFmtId="0" fontId="6" fillId="4" borderId="6" xfId="49" applyFont="1" applyFill="1" applyBorder="1" applyAlignment="1">
      <alignment horizontal="center"/>
    </xf>
    <xf numFmtId="0" fontId="6" fillId="4" borderId="10" xfId="49" applyFont="1" applyFill="1" applyBorder="1"/>
    <xf numFmtId="0" fontId="6" fillId="0" borderId="14" xfId="49" applyFont="1" applyBorder="1" applyAlignment="1">
      <alignment horizontal="center"/>
    </xf>
    <xf numFmtId="0" fontId="6" fillId="0" borderId="15" xfId="49" applyFont="1" applyBorder="1" applyAlignment="1">
      <alignment horizontal="center"/>
    </xf>
    <xf numFmtId="0" fontId="6" fillId="0" borderId="16" xfId="49" applyFont="1" applyBorder="1" applyAlignment="1">
      <alignment horizontal="center"/>
    </xf>
    <xf numFmtId="0" fontId="0" fillId="0" borderId="0" xfId="0" applyFont="1" applyFill="1" applyAlignment="1"/>
    <xf numFmtId="0" fontId="8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vertical="center" wrapText="1"/>
    </xf>
    <xf numFmtId="58" fontId="9" fillId="0" borderId="0" xfId="0" applyNumberFormat="1" applyFont="1" applyFill="1" applyAlignment="1">
      <alignment vertical="center" wrapText="1"/>
    </xf>
    <xf numFmtId="3" fontId="9" fillId="0" borderId="0" xfId="0" applyNumberFormat="1" applyFont="1" applyFill="1" applyAlignment="1">
      <alignment vertical="center" wrapText="1"/>
    </xf>
    <xf numFmtId="0" fontId="9" fillId="0" borderId="0" xfId="0" applyFont="1" applyFill="1" applyAlignment="1"/>
    <xf numFmtId="0" fontId="10" fillId="0" borderId="0" xfId="0" applyFont="1" applyFill="1" applyAlignment="1">
      <alignment vertical="center"/>
    </xf>
    <xf numFmtId="0" fontId="9" fillId="0" borderId="0" xfId="0" applyFont="1" applyFill="1" applyAlignment="1">
      <alignment horizontal="left" vertical="center"/>
    </xf>
    <xf numFmtId="0" fontId="6" fillId="0" borderId="0" xfId="49" applyFont="1" quotePrefix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  <cellStyle name="Normal 3" xfId="50"/>
    <cellStyle name="Comma [0] 2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GB" sz="14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>
                <a:solidFill>
                  <a:srgbClr val="757575"/>
                </a:solidFill>
                <a:latin typeface="+mn-lt"/>
              </a:rPr>
              <a:t>PENJUALAN TIAP KOTA </a:t>
            </a:r>
            <a:endParaRPr lang="en-ID" sz="1400" b="0" i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"kota"</c:f>
              <c:strCache>
                <c:ptCount val="1"/>
                <c:pt idx="0">
                  <c:v>kota</c:v>
                </c:pt>
              </c:strCache>
            </c:strRef>
          </c:tx>
          <c:spPr>
            <a:solidFill>
              <a:srgbClr val="4472C4"/>
            </a:solidFill>
            <a:ln cmpd="sng">
              <a:noFill/>
            </a:ln>
          </c:spPr>
          <c:invertIfNegative val="1"/>
          <c:dLbls>
            <c:delete val="1"/>
          </c:dLbls>
          <c:cat>
            <c:strRef>
              <c:f>[1]CHART!$D$2:$D$11</c:f>
              <c:strCache>
                <c:ptCount val="10"/>
                <c:pt idx="0">
                  <c:v>Surabaya</c:v>
                </c:pt>
                <c:pt idx="1">
                  <c:v>Malang</c:v>
                </c:pt>
                <c:pt idx="2">
                  <c:v>Mojokerto</c:v>
                </c:pt>
                <c:pt idx="3">
                  <c:v>Banyuwangi</c:v>
                </c:pt>
                <c:pt idx="4">
                  <c:v>Probolinggo</c:v>
                </c:pt>
                <c:pt idx="5">
                  <c:v>Situbondo</c:v>
                </c:pt>
                <c:pt idx="6">
                  <c:v>Lumajang</c:v>
                </c:pt>
                <c:pt idx="7">
                  <c:v>Blitar</c:v>
                </c:pt>
                <c:pt idx="8">
                  <c:v>Madiun</c:v>
                </c:pt>
                <c:pt idx="9">
                  <c:v>Ponorogo</c:v>
                </c:pt>
              </c:strCache>
            </c:strRef>
          </c:cat>
          <c:val>
            <c:numRef>
              <c:f>[1]CHART!$I$2:$I$11</c:f>
              <c:numCache>
                <c:formatCode>#,##0</c:formatCode>
                <c:ptCount val="10"/>
                <c:pt idx="0">
                  <c:v>17000000</c:v>
                </c:pt>
                <c:pt idx="1">
                  <c:v>23400000</c:v>
                </c:pt>
                <c:pt idx="2">
                  <c:v>10400000</c:v>
                </c:pt>
                <c:pt idx="3">
                  <c:v>11500000</c:v>
                </c:pt>
                <c:pt idx="4">
                  <c:v>2700000</c:v>
                </c:pt>
                <c:pt idx="5">
                  <c:v>3000000</c:v>
                </c:pt>
                <c:pt idx="6">
                  <c:v>3600000</c:v>
                </c:pt>
                <c:pt idx="7">
                  <c:v>14400000</c:v>
                </c:pt>
                <c:pt idx="8">
                  <c:v>9300000</c:v>
                </c:pt>
                <c:pt idx="9">
                  <c:v>12800000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"Harga Satuan"</c:f>
              <c:strCache>
                <c:ptCount val="1"/>
                <c:pt idx="0">
                  <c:v>Harga Satuan</c:v>
                </c:pt>
              </c:strCache>
            </c:strRef>
          </c:tx>
          <c:spPr>
            <a:solidFill>
              <a:srgbClr val="ED7D31"/>
            </a:solidFill>
            <a:ln cmpd="sng">
              <a:noFill/>
            </a:ln>
          </c:spPr>
          <c:invertIfNegative val="1"/>
          <c:dLbls>
            <c:delete val="1"/>
          </c:dLbls>
          <c:cat>
            <c:strRef>
              <c:f>[1]CHART!$D$2:$D$11</c:f>
              <c:strCache>
                <c:ptCount val="10"/>
                <c:pt idx="0">
                  <c:v>Surabaya</c:v>
                </c:pt>
                <c:pt idx="1">
                  <c:v>Malang</c:v>
                </c:pt>
                <c:pt idx="2">
                  <c:v>Mojokerto</c:v>
                </c:pt>
                <c:pt idx="3">
                  <c:v>Banyuwangi</c:v>
                </c:pt>
                <c:pt idx="4">
                  <c:v>Probolinggo</c:v>
                </c:pt>
                <c:pt idx="5">
                  <c:v>Situbondo</c:v>
                </c:pt>
                <c:pt idx="6">
                  <c:v>Lumajang</c:v>
                </c:pt>
                <c:pt idx="7">
                  <c:v>Blitar</c:v>
                </c:pt>
                <c:pt idx="8">
                  <c:v>Madiun</c:v>
                </c:pt>
                <c:pt idx="9">
                  <c:v>Ponorogo</c:v>
                </c:pt>
              </c:strCache>
            </c:strRef>
          </c:cat>
          <c:val>
            <c:numRef>
              <c:f>[1]CHART!$G$1:$G$11</c:f>
              <c:numCache>
                <c:formatCode>General</c:formatCode>
                <c:ptCount val="11"/>
                <c:pt idx="0">
                  <c:v>0</c:v>
                </c:pt>
                <c:pt idx="1" c:formatCode="#,##0">
                  <c:v>8500000</c:v>
                </c:pt>
                <c:pt idx="2" c:formatCode="#,##0">
                  <c:v>7800000</c:v>
                </c:pt>
                <c:pt idx="3" c:formatCode="#,##0">
                  <c:v>2600000</c:v>
                </c:pt>
                <c:pt idx="4" c:formatCode="#,##0">
                  <c:v>2300000</c:v>
                </c:pt>
                <c:pt idx="5" c:formatCode="#,##0">
                  <c:v>180000</c:v>
                </c:pt>
                <c:pt idx="6" c:formatCode="#,##0">
                  <c:v>150000</c:v>
                </c:pt>
                <c:pt idx="7" c:formatCode="#,##0">
                  <c:v>120000</c:v>
                </c:pt>
                <c:pt idx="8" c:formatCode="#,##0">
                  <c:v>7200000</c:v>
                </c:pt>
                <c:pt idx="9" c:formatCode="#,##0">
                  <c:v>3100000</c:v>
                </c:pt>
                <c:pt idx="10" c:formatCode="#,##0">
                  <c:v>3200000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437174"/>
        <c:axId val="856674884"/>
      </c:barChart>
      <c:catAx>
        <c:axId val="15943717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GB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>
                    <a:solidFill>
                      <a:srgbClr val="000000"/>
                    </a:solidFill>
                    <a:latin typeface="+mn-lt"/>
                  </a:rPr>
                  <a:t>Kota</a:t>
                </a:r>
                <a:endParaRPr lang="en-ID" sz="1000" b="0" i="0">
                  <a:solidFill>
                    <a:srgbClr val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0.476162336352685"/>
              <c:y val="0.92457117174946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856674884"/>
        <c:crosses val="autoZero"/>
        <c:auto val="1"/>
        <c:lblAlgn val="ctr"/>
        <c:lblOffset val="100"/>
        <c:noMultiLvlLbl val="1"/>
      </c:catAx>
      <c:valAx>
        <c:axId val="85667488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#,##0" sourceLinked="1"/>
        <c:majorTickMark val="out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5943717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38565884846404"/>
          <c:y val="0.28556332414528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36f902fa-3e4f-421c-8d66-11aa48726c75}"/>
      </c:ext>
    </c:extLst>
  </c:chart>
  <c:txPr>
    <a:bodyPr/>
    <a:lstStyle/>
    <a:p>
      <a:pPr>
        <a:defRPr lang="en-GB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GB" sz="14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>
                <a:solidFill>
                  <a:srgbClr val="757575"/>
                </a:solidFill>
                <a:latin typeface="+mn-lt"/>
              </a:rPr>
              <a:t>Jumlah Penjualan</a:t>
            </a:r>
            <a:endParaRPr lang="en-ID" sz="1400" b="0" i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"jumlah terjual"</c:f>
              <c:strCache>
                <c:ptCount val="1"/>
                <c:pt idx="0">
                  <c:v>jumlah terjual</c:v>
                </c:pt>
              </c:strCache>
            </c:strRef>
          </c:tx>
          <c:spPr>
            <a:solidFill>
              <a:srgbClr val="4472C4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472C4"/>
              </a:solidFill>
              <a:ln cmpd="sng">
                <a:noFill/>
              </a:ln>
            </c:spPr>
          </c:dPt>
          <c:dPt>
            <c:idx val="1"/>
            <c:invertIfNegative val="1"/>
            <c:bubble3D val="0"/>
            <c:spPr>
              <a:solidFill>
                <a:srgbClr val="4472C4"/>
              </a:solidFill>
              <a:ln cmpd="sng">
                <a:noFill/>
              </a:ln>
            </c:spPr>
          </c:dPt>
          <c:dPt>
            <c:idx val="2"/>
            <c:invertIfNegative val="1"/>
            <c:bubble3D val="0"/>
            <c:spPr>
              <a:solidFill>
                <a:srgbClr val="4472C4"/>
              </a:solidFill>
              <a:ln cmpd="sng">
                <a:noFill/>
              </a:ln>
            </c:spPr>
          </c:dPt>
          <c:dPt>
            <c:idx val="3"/>
            <c:invertIfNegative val="1"/>
            <c:bubble3D val="0"/>
            <c:spPr>
              <a:solidFill>
                <a:srgbClr val="4472C4"/>
              </a:solidFill>
              <a:ln cmpd="sng">
                <a:noFill/>
              </a:ln>
            </c:spPr>
          </c:dPt>
          <c:dPt>
            <c:idx val="4"/>
            <c:invertIfNegative val="1"/>
            <c:bubble3D val="0"/>
            <c:spPr>
              <a:solidFill>
                <a:srgbClr val="4472C4"/>
              </a:solidFill>
              <a:ln cmpd="sng">
                <a:noFill/>
              </a:ln>
            </c:spPr>
          </c:dPt>
          <c:dPt>
            <c:idx val="5"/>
            <c:invertIfNegative val="1"/>
            <c:bubble3D val="0"/>
            <c:spPr>
              <a:solidFill>
                <a:srgbClr val="4472C4"/>
              </a:solidFill>
              <a:ln cmpd="sng">
                <a:noFill/>
              </a:ln>
            </c:spPr>
          </c:dPt>
          <c:dPt>
            <c:idx val="6"/>
            <c:invertIfNegative val="1"/>
            <c:bubble3D val="0"/>
            <c:spPr>
              <a:solidFill>
                <a:srgbClr val="4472C4"/>
              </a:solidFill>
              <a:ln cmpd="sng">
                <a:noFill/>
              </a:ln>
            </c:spPr>
          </c:dPt>
          <c:dPt>
            <c:idx val="7"/>
            <c:invertIfNegative val="1"/>
            <c:bubble3D val="0"/>
            <c:spPr>
              <a:solidFill>
                <a:srgbClr val="4472C4"/>
              </a:solidFill>
              <a:ln cmpd="sng">
                <a:noFill/>
              </a:ln>
            </c:spPr>
          </c:dPt>
          <c:dPt>
            <c:idx val="8"/>
            <c:invertIfNegative val="1"/>
            <c:bubble3D val="0"/>
            <c:spPr>
              <a:solidFill>
                <a:srgbClr val="4472C4"/>
              </a:solidFill>
              <a:ln cmpd="sng">
                <a:noFill/>
              </a:ln>
            </c:spPr>
          </c:dPt>
          <c:dPt>
            <c:idx val="9"/>
            <c:invertIfNegative val="1"/>
            <c:bubble3D val="0"/>
            <c:spPr>
              <a:solidFill>
                <a:srgbClr val="4472C4"/>
              </a:solidFill>
              <a:ln cmpd="sng">
                <a:noFill/>
              </a:ln>
            </c:spPr>
          </c:dPt>
          <c:dLbls>
            <c:delete val="1"/>
          </c:dLbls>
          <c:cat>
            <c:strRef>
              <c:f>[1]CHART!$C$2:$C$11</c:f>
              <c:strCache>
                <c:ptCount val="10"/>
                <c:pt idx="0">
                  <c:v>Andi</c:v>
                </c:pt>
                <c:pt idx="1">
                  <c:v>Budi</c:v>
                </c:pt>
                <c:pt idx="2">
                  <c:v>Citra</c:v>
                </c:pt>
                <c:pt idx="3">
                  <c:v>Dedi</c:v>
                </c:pt>
                <c:pt idx="4">
                  <c:v>Eka</c:v>
                </c:pt>
                <c:pt idx="5">
                  <c:v>Dika</c:v>
                </c:pt>
                <c:pt idx="6">
                  <c:v>Putra</c:v>
                </c:pt>
                <c:pt idx="7">
                  <c:v>Dicky</c:v>
                </c:pt>
                <c:pt idx="8">
                  <c:v>Rosa</c:v>
                </c:pt>
                <c:pt idx="9">
                  <c:v>Rudi</c:v>
                </c:pt>
              </c:strCache>
            </c:strRef>
          </c:cat>
          <c:val>
            <c:numRef>
              <c:f>[1]CHART!$H$2:$H$11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15</c:v>
                </c:pt>
                <c:pt idx="5">
                  <c:v>20</c:v>
                </c:pt>
                <c:pt idx="6">
                  <c:v>30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2979181"/>
        <c:axId val="128681245"/>
      </c:barChart>
      <c:catAx>
        <c:axId val="165297918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GB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>
                    <a:solidFill>
                      <a:srgbClr val="000000"/>
                    </a:solidFill>
                    <a:latin typeface="+mn-lt"/>
                  </a:rPr>
                  <a:t>sales</a:t>
                </a:r>
                <a:endParaRPr lang="en-ID" sz="1000" b="0" i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28681245"/>
        <c:crosses val="autoZero"/>
        <c:auto val="1"/>
        <c:lblAlgn val="ctr"/>
        <c:lblOffset val="100"/>
        <c:noMultiLvlLbl val="1"/>
      </c:catAx>
      <c:valAx>
        <c:axId val="12868124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GB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>
                    <a:solidFill>
                      <a:srgbClr val="000000"/>
                    </a:solidFill>
                    <a:latin typeface="+mn-lt"/>
                  </a:rPr>
                  <a:t> Jumlah Terjual</a:t>
                </a:r>
                <a:endParaRPr lang="en-ID" sz="1000" b="0" i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65297918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23da3e2c-2a5a-46d3-9737-26e1d0db5030}"/>
      </c:ext>
    </c:extLst>
  </c:chart>
  <c:txPr>
    <a:bodyPr/>
    <a:lstStyle/>
    <a:p>
      <a:pPr>
        <a:defRPr lang="en-GB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GB" sz="14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>
                <a:solidFill>
                  <a:srgbClr val="757575"/>
                </a:solidFill>
                <a:latin typeface="+mn-lt"/>
              </a:rPr>
              <a:t>Total Penjualan</a:t>
            </a:r>
            <a:endParaRPr lang="en-ID" sz="1400" b="0" i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"penjualan sales"</c:f>
              <c:strCache>
                <c:ptCount val="1"/>
                <c:pt idx="0">
                  <c:v>penjualan sales</c:v>
                </c:pt>
              </c:strCache>
            </c:strRef>
          </c:tx>
          <c:spPr>
            <a:solidFill>
              <a:srgbClr val="4472C4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472C4"/>
              </a:solidFill>
              <a:ln cmpd="sng">
                <a:noFill/>
              </a:ln>
            </c:spPr>
          </c:dPt>
          <c:dPt>
            <c:idx val="1"/>
            <c:invertIfNegative val="1"/>
            <c:bubble3D val="0"/>
            <c:spPr>
              <a:solidFill>
                <a:srgbClr val="4472C4"/>
              </a:solidFill>
              <a:ln cmpd="sng">
                <a:noFill/>
              </a:ln>
            </c:spPr>
          </c:dPt>
          <c:dPt>
            <c:idx val="2"/>
            <c:invertIfNegative val="1"/>
            <c:bubble3D val="0"/>
            <c:spPr>
              <a:solidFill>
                <a:srgbClr val="4472C4"/>
              </a:solidFill>
              <a:ln cmpd="sng">
                <a:noFill/>
              </a:ln>
            </c:spPr>
          </c:dPt>
          <c:dPt>
            <c:idx val="3"/>
            <c:invertIfNegative val="1"/>
            <c:bubble3D val="0"/>
            <c:spPr>
              <a:solidFill>
                <a:srgbClr val="4472C4"/>
              </a:solidFill>
              <a:ln cmpd="sng">
                <a:noFill/>
              </a:ln>
            </c:spPr>
          </c:dPt>
          <c:dPt>
            <c:idx val="4"/>
            <c:invertIfNegative val="1"/>
            <c:bubble3D val="0"/>
            <c:spPr>
              <a:solidFill>
                <a:srgbClr val="4472C4"/>
              </a:solidFill>
              <a:ln cmpd="sng">
                <a:noFill/>
              </a:ln>
            </c:spPr>
          </c:dPt>
          <c:dPt>
            <c:idx val="5"/>
            <c:invertIfNegative val="1"/>
            <c:bubble3D val="0"/>
            <c:spPr>
              <a:solidFill>
                <a:srgbClr val="4472C4"/>
              </a:solidFill>
              <a:ln cmpd="sng">
                <a:noFill/>
              </a:ln>
            </c:spPr>
          </c:dPt>
          <c:dPt>
            <c:idx val="6"/>
            <c:invertIfNegative val="1"/>
            <c:bubble3D val="0"/>
            <c:spPr>
              <a:solidFill>
                <a:srgbClr val="4472C4"/>
              </a:solidFill>
              <a:ln cmpd="sng">
                <a:noFill/>
              </a:ln>
            </c:spPr>
          </c:dPt>
          <c:dPt>
            <c:idx val="7"/>
            <c:invertIfNegative val="1"/>
            <c:bubble3D val="0"/>
            <c:spPr>
              <a:solidFill>
                <a:srgbClr val="4472C4"/>
              </a:solidFill>
              <a:ln cmpd="sng">
                <a:noFill/>
              </a:ln>
            </c:spPr>
          </c:dPt>
          <c:dPt>
            <c:idx val="8"/>
            <c:invertIfNegative val="1"/>
            <c:bubble3D val="0"/>
            <c:spPr>
              <a:solidFill>
                <a:srgbClr val="4472C4"/>
              </a:solidFill>
              <a:ln cmpd="sng">
                <a:noFill/>
              </a:ln>
            </c:spPr>
          </c:dPt>
          <c:dPt>
            <c:idx val="9"/>
            <c:invertIfNegative val="1"/>
            <c:bubble3D val="0"/>
            <c:spPr>
              <a:solidFill>
                <a:srgbClr val="4472C4"/>
              </a:solidFill>
              <a:ln cmpd="sng">
                <a:noFill/>
              </a:ln>
            </c:spPr>
          </c:dPt>
          <c:dLbls>
            <c:delete val="1"/>
          </c:dLbls>
          <c:cat>
            <c:strRef>
              <c:f>[1]CHART!$C$2:$C$11</c:f>
              <c:strCache>
                <c:ptCount val="10"/>
                <c:pt idx="0">
                  <c:v>Andi</c:v>
                </c:pt>
                <c:pt idx="1">
                  <c:v>Budi</c:v>
                </c:pt>
                <c:pt idx="2">
                  <c:v>Citra</c:v>
                </c:pt>
                <c:pt idx="3">
                  <c:v>Dedi</c:v>
                </c:pt>
                <c:pt idx="4">
                  <c:v>Eka</c:v>
                </c:pt>
                <c:pt idx="5">
                  <c:v>Dika</c:v>
                </c:pt>
                <c:pt idx="6">
                  <c:v>Putra</c:v>
                </c:pt>
                <c:pt idx="7">
                  <c:v>Dicky</c:v>
                </c:pt>
                <c:pt idx="8">
                  <c:v>Rosa</c:v>
                </c:pt>
                <c:pt idx="9">
                  <c:v>Rudi</c:v>
                </c:pt>
              </c:strCache>
            </c:strRef>
          </c:cat>
          <c:val>
            <c:numRef>
              <c:f>[1]CHART!$I$2:$I$11</c:f>
              <c:numCache>
                <c:formatCode>#,##0</c:formatCode>
                <c:ptCount val="10"/>
                <c:pt idx="0">
                  <c:v>17000000</c:v>
                </c:pt>
                <c:pt idx="1">
                  <c:v>23400000</c:v>
                </c:pt>
                <c:pt idx="2">
                  <c:v>10400000</c:v>
                </c:pt>
                <c:pt idx="3">
                  <c:v>11500000</c:v>
                </c:pt>
                <c:pt idx="4">
                  <c:v>2700000</c:v>
                </c:pt>
                <c:pt idx="5">
                  <c:v>3000000</c:v>
                </c:pt>
                <c:pt idx="6">
                  <c:v>3600000</c:v>
                </c:pt>
                <c:pt idx="7">
                  <c:v>14400000</c:v>
                </c:pt>
                <c:pt idx="8">
                  <c:v>9300000</c:v>
                </c:pt>
                <c:pt idx="9">
                  <c:v>12800000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1327044"/>
        <c:axId val="1195710287"/>
      </c:barChart>
      <c:catAx>
        <c:axId val="208132704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GB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>
                    <a:solidFill>
                      <a:srgbClr val="000000"/>
                    </a:solidFill>
                    <a:latin typeface="+mn-lt"/>
                  </a:rPr>
                  <a:t>Sales</a:t>
                </a:r>
                <a:endParaRPr lang="en-ID" sz="1000" b="0" i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95710287"/>
        <c:crosses val="autoZero"/>
        <c:auto val="1"/>
        <c:lblAlgn val="ctr"/>
        <c:lblOffset val="100"/>
        <c:noMultiLvlLbl val="1"/>
      </c:catAx>
      <c:valAx>
        <c:axId val="119571028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GB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>
                    <a:solidFill>
                      <a:srgbClr val="000000"/>
                    </a:solidFill>
                    <a:latin typeface="+mn-lt"/>
                  </a:rPr>
                  <a:t>Total Penjualan</a:t>
                </a:r>
                <a:endParaRPr lang="en-ID" sz="1000" b="0" i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08132704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26b00904-410f-441a-8356-cc1292482f4e}"/>
      </c:ext>
    </c:extLst>
  </c:chart>
  <c:txPr>
    <a:bodyPr/>
    <a:lstStyle/>
    <a:p>
      <a:pPr>
        <a:defRPr lang="en-GB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GB" sz="14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>
                <a:solidFill>
                  <a:srgbClr val="757575"/>
                </a:solidFill>
                <a:latin typeface="+mn-lt"/>
              </a:rPr>
              <a:t>TOTAL PENJUALAN TIAP KOTA</a:t>
            </a:r>
            <a:endParaRPr lang="en-ID" sz="1400" b="0" i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chemeClr val="accent2"/>
              </a:solidFill>
            </c:spPr>
          </c:dPt>
          <c:dPt>
            <c:idx val="2"/>
            <c:bubble3D val="0"/>
            <c:spPr>
              <a:solidFill>
                <a:schemeClr val="accent3"/>
              </a:solidFill>
            </c:spPr>
          </c:dPt>
          <c:dPt>
            <c:idx val="3"/>
            <c:bubble3D val="0"/>
            <c:spPr>
              <a:solidFill>
                <a:schemeClr val="accent4"/>
              </a:solidFill>
            </c:spPr>
          </c:dPt>
          <c:dPt>
            <c:idx val="4"/>
            <c:bubble3D val="0"/>
            <c:spPr>
              <a:solidFill>
                <a:schemeClr val="accent5"/>
              </a:solidFill>
            </c:spPr>
          </c:dPt>
          <c:dPt>
            <c:idx val="5"/>
            <c:bubble3D val="0"/>
            <c:spPr>
              <a:solidFill>
                <a:schemeClr val="accent6"/>
              </a:solidFill>
            </c:spPr>
          </c:dPt>
          <c:dPt>
            <c:idx val="6"/>
            <c:bubble3D val="0"/>
            <c:spPr>
              <a:solidFill>
                <a:schemeClr val="accent1"/>
              </a:solidFill>
            </c:spPr>
          </c:dPt>
          <c:dPt>
            <c:idx val="7"/>
            <c:bubble3D val="0"/>
            <c:spPr>
              <a:solidFill>
                <a:schemeClr val="accent2"/>
              </a:solidFill>
            </c:spPr>
          </c:dPt>
          <c:dPt>
            <c:idx val="8"/>
            <c:bubble3D val="0"/>
            <c:spPr>
              <a:solidFill>
                <a:schemeClr val="accent3"/>
              </a:solidFill>
            </c:spPr>
          </c:dPt>
          <c:dPt>
            <c:idx val="9"/>
            <c:bubble3D val="0"/>
            <c:spPr>
              <a:solidFill>
                <a:schemeClr val="accent4"/>
              </a:solidFill>
            </c:spPr>
          </c:dPt>
          <c:dLbls>
            <c:delete val="1"/>
          </c:dLbls>
          <c:cat>
            <c:strRef>
              <c:f>[1]CHART!$D$2:$D$11</c:f>
              <c:strCache>
                <c:ptCount val="10"/>
                <c:pt idx="0">
                  <c:v>Surabaya</c:v>
                </c:pt>
                <c:pt idx="1">
                  <c:v>Malang</c:v>
                </c:pt>
                <c:pt idx="2">
                  <c:v>Mojokerto</c:v>
                </c:pt>
                <c:pt idx="3">
                  <c:v>Banyuwangi</c:v>
                </c:pt>
                <c:pt idx="4">
                  <c:v>Probolinggo</c:v>
                </c:pt>
                <c:pt idx="5">
                  <c:v>Situbondo</c:v>
                </c:pt>
                <c:pt idx="6">
                  <c:v>Lumajang</c:v>
                </c:pt>
                <c:pt idx="7">
                  <c:v>Blitar</c:v>
                </c:pt>
                <c:pt idx="8">
                  <c:v>Madiun</c:v>
                </c:pt>
                <c:pt idx="9">
                  <c:v>Ponorogo</c:v>
                </c:pt>
              </c:strCache>
            </c:strRef>
          </c:cat>
          <c:val>
            <c:numRef>
              <c:f>[1]CHART!$I$2:$I$11</c:f>
              <c:numCache>
                <c:formatCode>#,##0</c:formatCode>
                <c:ptCount val="10"/>
                <c:pt idx="0">
                  <c:v>17000000</c:v>
                </c:pt>
                <c:pt idx="1">
                  <c:v>23400000</c:v>
                </c:pt>
                <c:pt idx="2">
                  <c:v>10400000</c:v>
                </c:pt>
                <c:pt idx="3">
                  <c:v>11500000</c:v>
                </c:pt>
                <c:pt idx="4">
                  <c:v>2700000</c:v>
                </c:pt>
                <c:pt idx="5">
                  <c:v>3000000</c:v>
                </c:pt>
                <c:pt idx="6">
                  <c:v>3600000</c:v>
                </c:pt>
                <c:pt idx="7">
                  <c:v>14400000</c:v>
                </c:pt>
                <c:pt idx="8">
                  <c:v>9300000</c:v>
                </c:pt>
                <c:pt idx="9">
                  <c:v>12800000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c3cc4bec-836e-4c5d-9189-6f2946994524}"/>
      </c:ext>
    </c:extLst>
  </c:chart>
  <c:txPr>
    <a:bodyPr/>
    <a:lstStyle/>
    <a:p>
      <a:pPr>
        <a:defRPr lang="en-GB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590550</xdr:colOff>
      <xdr:row>12</xdr:row>
      <xdr:rowOff>9525</xdr:rowOff>
    </xdr:from>
    <xdr:ext cx="7743825" cy="3790950"/>
    <xdr:graphicFrame>
      <xdr:nvGraphicFramePr>
        <xdr:cNvPr id="2" name="Chart 1"/>
        <xdr:cNvGraphicFramePr/>
      </xdr:nvGraphicFramePr>
      <xdr:xfrm>
        <a:off x="2324100" y="2403475"/>
        <a:ext cx="7743825" cy="3790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600075</xdr:colOff>
      <xdr:row>0</xdr:row>
      <xdr:rowOff>0</xdr:rowOff>
    </xdr:from>
    <xdr:ext cx="4638675" cy="2447925"/>
    <xdr:graphicFrame>
      <xdr:nvGraphicFramePr>
        <xdr:cNvPr id="3" name="Chart 2"/>
        <xdr:cNvGraphicFramePr/>
      </xdr:nvGraphicFramePr>
      <xdr:xfrm>
        <a:off x="10531475" y="0"/>
        <a:ext cx="4638675" cy="2447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590550</xdr:colOff>
      <xdr:row>12</xdr:row>
      <xdr:rowOff>171450</xdr:rowOff>
    </xdr:from>
    <xdr:ext cx="6391275" cy="3838575"/>
    <xdr:graphicFrame>
      <xdr:nvGraphicFramePr>
        <xdr:cNvPr id="4" name="Chart 3"/>
        <xdr:cNvGraphicFramePr/>
      </xdr:nvGraphicFramePr>
      <xdr:xfrm>
        <a:off x="10521950" y="2565400"/>
        <a:ext cx="6391275" cy="3838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</xdr:col>
      <xdr:colOff>590550</xdr:colOff>
      <xdr:row>32</xdr:row>
      <xdr:rowOff>171450</xdr:rowOff>
    </xdr:from>
    <xdr:ext cx="4581525" cy="3429000"/>
    <xdr:graphicFrame>
      <xdr:nvGraphicFramePr>
        <xdr:cNvPr id="5" name="Chart 4" title="Diagram"/>
        <xdr:cNvGraphicFramePr/>
      </xdr:nvGraphicFramePr>
      <xdr:xfrm>
        <a:off x="2324100" y="6438900"/>
        <a:ext cx="4581525" cy="3429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40</xdr:row>
      <xdr:rowOff>0</xdr:rowOff>
    </xdr:from>
    <xdr:to>
      <xdr:col>11</xdr:col>
      <xdr:colOff>712470</xdr:colOff>
      <xdr:row>57</xdr:row>
      <xdr:rowOff>46990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527925"/>
          <a:ext cx="11704320" cy="27457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ISIBOOK\Downloads\Excel%20Lanju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Studi Kasus 2 Juma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!To%20Husnan%20Nilai%20SMA1\Soal%20UAK%20Office2_iiq%20(TIF-A%20&amp;%20KAB-A)\Backup%20flashdisk%2010feb07\bank%20soal%20excel\excel%20iiq\IIQTIF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 PIVOTABLE (2)"/>
      <sheetName val="Data PIVOTABLE"/>
      <sheetName val="Lat 7 kamis"/>
      <sheetName val="Lat 6 kamis"/>
      <sheetName val="Lat 5 kamis"/>
      <sheetName val="Lat 4 kamis"/>
      <sheetName val="Lat 3 kamis"/>
      <sheetName val="Lat 2 kamis"/>
      <sheetName val="Lat 1 kamis"/>
      <sheetName val="Studi Kasus 1 Jumat Soal6"/>
      <sheetName val="Studi Kasus 1 Jumat Soal5"/>
      <sheetName val="Studi Kasus 1 Jumat Soal4"/>
      <sheetName val="Studi Kasus 1 Jumat Soal3"/>
      <sheetName val="Studi Kasus 1 Jumat Soal2"/>
      <sheetName val="Studi Kasus 1 Jumat Soal1"/>
      <sheetName val="Studi Kasus 2 Jumat Soal 1"/>
      <sheetName val="Studi Kasus 2 Jumat Soal 2"/>
      <sheetName val="Studi Kasus 2 Jumat Soal 3.b"/>
      <sheetName val="Studi Kasus 2 Jumat Soal 4"/>
      <sheetName val="Studi kasus 2 1 jumat"/>
      <sheetName val="CHART"/>
      <sheetName val="SORT&amp;FILTER"/>
      <sheetName val="FILTER"/>
      <sheetName val="SHORT"/>
      <sheetName val="SHORT&amp;FILTER"/>
      <sheetName val="#Sheet8"/>
      <sheetName val="#Sheet12"/>
      <sheetName val="#Sheet11"/>
      <sheetName val="#Sheet3"/>
      <sheetName val="#Sheet9"/>
      <sheetName val="#Sheet7"/>
      <sheetName val="#VLOOKUP"/>
      <sheetName val="#Sheet13"/>
      <sheetName val="#12"/>
      <sheetName val="Sheet6#"/>
      <sheetName val="#diagram"/>
      <sheetName val="#Sheet10"/>
      <sheetName val="#HLOOKUP"/>
      <sheetName val="#VLOOKUP (2)"/>
      <sheetName val="DATE#"/>
      <sheetName val="Sheet5#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G1" t="str">
            <v>Harga Satuan</v>
          </cell>
        </row>
        <row r="2">
          <cell r="C2" t="str">
            <v>Andi</v>
          </cell>
          <cell r="D2" t="str">
            <v>Surabaya</v>
          </cell>
        </row>
        <row r="2">
          <cell r="G2">
            <v>8500000</v>
          </cell>
          <cell r="H2">
            <v>2</v>
          </cell>
          <cell r="I2">
            <v>17000000</v>
          </cell>
        </row>
        <row r="3">
          <cell r="C3" t="str">
            <v>Budi</v>
          </cell>
          <cell r="D3" t="str">
            <v>Malang</v>
          </cell>
        </row>
        <row r="3">
          <cell r="G3">
            <v>7800000</v>
          </cell>
          <cell r="H3">
            <v>3</v>
          </cell>
          <cell r="I3">
            <v>23400000</v>
          </cell>
        </row>
        <row r="4">
          <cell r="C4" t="str">
            <v>Citra</v>
          </cell>
          <cell r="D4" t="str">
            <v>Mojokerto</v>
          </cell>
        </row>
        <row r="4">
          <cell r="G4">
            <v>2600000</v>
          </cell>
          <cell r="H4">
            <v>4</v>
          </cell>
          <cell r="I4">
            <v>10400000</v>
          </cell>
        </row>
        <row r="5">
          <cell r="C5" t="str">
            <v>Dedi</v>
          </cell>
          <cell r="D5" t="str">
            <v>Banyuwangi</v>
          </cell>
        </row>
        <row r="5">
          <cell r="G5">
            <v>2300000</v>
          </cell>
          <cell r="H5">
            <v>5</v>
          </cell>
          <cell r="I5">
            <v>11500000</v>
          </cell>
        </row>
        <row r="6">
          <cell r="C6" t="str">
            <v>Eka</v>
          </cell>
          <cell r="D6" t="str">
            <v>Probolinggo</v>
          </cell>
        </row>
        <row r="6">
          <cell r="G6">
            <v>180000</v>
          </cell>
          <cell r="H6">
            <v>15</v>
          </cell>
          <cell r="I6">
            <v>2700000</v>
          </cell>
        </row>
        <row r="7">
          <cell r="C7" t="str">
            <v>Dika</v>
          </cell>
          <cell r="D7" t="str">
            <v>Situbondo</v>
          </cell>
        </row>
        <row r="7">
          <cell r="G7">
            <v>150000</v>
          </cell>
          <cell r="H7">
            <v>20</v>
          </cell>
          <cell r="I7">
            <v>3000000</v>
          </cell>
        </row>
        <row r="8">
          <cell r="C8" t="str">
            <v>Putra</v>
          </cell>
          <cell r="D8" t="str">
            <v>Lumajang</v>
          </cell>
        </row>
        <row r="8">
          <cell r="G8">
            <v>120000</v>
          </cell>
          <cell r="H8">
            <v>30</v>
          </cell>
          <cell r="I8">
            <v>3600000</v>
          </cell>
        </row>
        <row r="9">
          <cell r="C9" t="str">
            <v>Dicky</v>
          </cell>
          <cell r="D9" t="str">
            <v>Blitar</v>
          </cell>
        </row>
        <row r="9">
          <cell r="G9">
            <v>7200000</v>
          </cell>
          <cell r="H9">
            <v>2</v>
          </cell>
          <cell r="I9">
            <v>14400000</v>
          </cell>
        </row>
        <row r="10">
          <cell r="C10" t="str">
            <v>Rosa</v>
          </cell>
          <cell r="D10" t="str">
            <v>Madiun</v>
          </cell>
        </row>
        <row r="10">
          <cell r="G10">
            <v>3100000</v>
          </cell>
          <cell r="H10">
            <v>3</v>
          </cell>
          <cell r="I10">
            <v>9300000</v>
          </cell>
        </row>
        <row r="11">
          <cell r="C11" t="str">
            <v>Rudi</v>
          </cell>
          <cell r="D11" t="str">
            <v>Ponorogo</v>
          </cell>
        </row>
        <row r="11">
          <cell r="G11">
            <v>3200000</v>
          </cell>
          <cell r="H11">
            <v>4</v>
          </cell>
          <cell r="I11">
            <v>12800000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tudi Kasus 2 Jumat Soal 1"/>
      <sheetName val="Studi Kasus 2 Jumat Soal 2"/>
      <sheetName val="Studi Kasus 2 Jumat Soal 3.a"/>
      <sheetName val="Studi Kasus 2 Jumat Soal 4"/>
      <sheetName val="Soal 5"/>
    </sheetNames>
    <sheetDataSet>
      <sheetData sheetId="0" refreshError="1">
        <row r="5">
          <cell r="B5" t="str">
            <v>Puri Dewi Dewi</v>
          </cell>
        </row>
        <row r="6">
          <cell r="B6" t="str">
            <v>Fike Nurjannah</v>
          </cell>
        </row>
        <row r="7">
          <cell r="B7" t="str">
            <v>Namirah Hadrah</v>
          </cell>
        </row>
        <row r="8">
          <cell r="B8" t="str">
            <v>Giganda Saputri</v>
          </cell>
        </row>
        <row r="9">
          <cell r="B9" t="str">
            <v>Alif kamila kabelo</v>
          </cell>
        </row>
        <row r="10">
          <cell r="B10" t="str">
            <v>Rudi Tabuti</v>
          </cell>
        </row>
        <row r="11">
          <cell r="B11" t="str">
            <v>Ilham Dari Langit</v>
          </cell>
        </row>
        <row r="12">
          <cell r="B12" t="str">
            <v>Aries Hutang Budi Prasetya</v>
          </cell>
        </row>
        <row r="13">
          <cell r="B13" t="str">
            <v>Zilfa Ashiteru</v>
          </cell>
        </row>
        <row r="14">
          <cell r="B14" t="str">
            <v>Nicholas Sapulidi</v>
          </cell>
        </row>
        <row r="15">
          <cell r="B15" t="str">
            <v>Ayu Tuing Tuing</v>
          </cell>
        </row>
      </sheetData>
      <sheetData sheetId="1" refreshError="1">
        <row r="20">
          <cell r="G20" t="str">
            <v>Mawar</v>
          </cell>
          <cell r="H20" t="str">
            <v>VIP</v>
          </cell>
          <cell r="I20">
            <v>225000</v>
          </cell>
          <cell r="J20">
            <v>0.1</v>
          </cell>
        </row>
        <row r="21">
          <cell r="G21" t="str">
            <v>Anggrek</v>
          </cell>
        </row>
        <row r="21">
          <cell r="I21">
            <v>200000</v>
          </cell>
          <cell r="J21">
            <v>0.05</v>
          </cell>
        </row>
        <row r="22">
          <cell r="G22" t="str">
            <v>Cempaka</v>
          </cell>
        </row>
        <row r="22">
          <cell r="I22">
            <v>175000</v>
          </cell>
          <cell r="J22">
            <v>0.03</v>
          </cell>
        </row>
        <row r="23">
          <cell r="G23" t="str">
            <v>Mawar</v>
          </cell>
          <cell r="H23" t="str">
            <v>Bisnis</v>
          </cell>
          <cell r="I23">
            <v>200000</v>
          </cell>
          <cell r="J23">
            <v>0.03</v>
          </cell>
        </row>
        <row r="24">
          <cell r="G24" t="str">
            <v>Anggrek</v>
          </cell>
        </row>
        <row r="24">
          <cell r="I24">
            <v>175000</v>
          </cell>
          <cell r="J24">
            <v>0.02</v>
          </cell>
        </row>
        <row r="25">
          <cell r="G25" t="str">
            <v>Cempaka</v>
          </cell>
        </row>
        <row r="25">
          <cell r="I25">
            <v>150000</v>
          </cell>
          <cell r="J25">
            <v>0.01</v>
          </cell>
        </row>
        <row r="26">
          <cell r="G26" t="str">
            <v>Mawar</v>
          </cell>
          <cell r="H26" t="str">
            <v>Ekonomi</v>
          </cell>
          <cell r="I26">
            <v>175000</v>
          </cell>
          <cell r="J26">
            <v>0.02</v>
          </cell>
        </row>
        <row r="27">
          <cell r="G27" t="str">
            <v>Anggrek</v>
          </cell>
        </row>
        <row r="27">
          <cell r="I27">
            <v>150000</v>
          </cell>
          <cell r="J27">
            <v>0.01</v>
          </cell>
        </row>
        <row r="28">
          <cell r="G28" t="str">
            <v>Cempaka</v>
          </cell>
        </row>
        <row r="28">
          <cell r="I28">
            <v>125000</v>
          </cell>
          <cell r="J28">
            <v>0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00000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Perhati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zoomScale="47" zoomScaleNormal="47" workbookViewId="0">
      <selection activeCell="A1" sqref="$A1:$XFD1048576"/>
    </sheetView>
  </sheetViews>
  <sheetFormatPr defaultColWidth="14.4545454545455" defaultRowHeight="15" customHeight="1"/>
  <cols>
    <col min="1" max="1" width="9.09090909090909" style="58" customWidth="1"/>
    <col min="2" max="2" width="15.7272727272727" style="58" customWidth="1"/>
    <col min="3" max="3" width="9.09090909090909" style="58" customWidth="1"/>
    <col min="4" max="4" width="15.0909090909091" style="58" customWidth="1"/>
    <col min="5" max="5" width="9.09090909090909" style="58" customWidth="1"/>
    <col min="6" max="6" width="16.2727272727273" style="58" customWidth="1"/>
    <col min="7" max="7" width="19" style="58" customWidth="1"/>
    <col min="8" max="8" width="9.09090909090909" style="58" customWidth="1"/>
    <col min="9" max="9" width="23.2727272727273" style="58" customWidth="1"/>
    <col min="10" max="10" width="16.4545454545455" style="58" customWidth="1"/>
    <col min="11" max="26" width="8.72727272727273" style="58" customWidth="1"/>
    <col min="27" max="16384" width="14.4545454545455" style="58"/>
  </cols>
  <sheetData>
    <row r="1" s="58" customFormat="1" ht="29" spans="1:26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59" t="s">
        <v>8</v>
      </c>
      <c r="J1" s="59" t="s">
        <v>9</v>
      </c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s="58" customFormat="1" ht="14.5" spans="1:26">
      <c r="A2" s="60">
        <v>1</v>
      </c>
      <c r="B2" s="61">
        <v>46204</v>
      </c>
      <c r="C2" s="60" t="s">
        <v>10</v>
      </c>
      <c r="D2" s="60" t="s">
        <v>11</v>
      </c>
      <c r="E2" s="60" t="s">
        <v>12</v>
      </c>
      <c r="F2" s="60" t="s">
        <v>13</v>
      </c>
      <c r="G2" s="62">
        <v>8500000</v>
      </c>
      <c r="H2" s="60">
        <v>2</v>
      </c>
      <c r="I2" s="62">
        <v>17000000</v>
      </c>
      <c r="J2" s="60" t="s">
        <v>14</v>
      </c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s="58" customFormat="1" ht="14.5" spans="1:26">
      <c r="A3" s="60">
        <v>2</v>
      </c>
      <c r="B3" s="61">
        <v>46205</v>
      </c>
      <c r="C3" s="60" t="s">
        <v>15</v>
      </c>
      <c r="D3" s="60" t="s">
        <v>16</v>
      </c>
      <c r="E3" s="60" t="s">
        <v>12</v>
      </c>
      <c r="F3" s="60" t="s">
        <v>17</v>
      </c>
      <c r="G3" s="62">
        <v>7800000</v>
      </c>
      <c r="H3" s="60">
        <v>3</v>
      </c>
      <c r="I3" s="62">
        <v>23400000</v>
      </c>
      <c r="J3" s="60" t="s">
        <v>18</v>
      </c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s="58" customFormat="1" ht="14.5" spans="1:26">
      <c r="A4" s="60">
        <v>3</v>
      </c>
      <c r="B4" s="61">
        <v>46206</v>
      </c>
      <c r="C4" s="60" t="s">
        <v>19</v>
      </c>
      <c r="D4" s="60" t="s">
        <v>20</v>
      </c>
      <c r="E4" s="60" t="s">
        <v>21</v>
      </c>
      <c r="F4" s="60" t="s">
        <v>22</v>
      </c>
      <c r="G4" s="62">
        <v>2600000</v>
      </c>
      <c r="H4" s="60">
        <v>4</v>
      </c>
      <c r="I4" s="62">
        <v>10400000</v>
      </c>
      <c r="J4" s="60" t="s">
        <v>23</v>
      </c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s="58" customFormat="1" ht="14.5" spans="1:26">
      <c r="A5" s="60">
        <v>4</v>
      </c>
      <c r="B5" s="61">
        <v>46207</v>
      </c>
      <c r="C5" s="60" t="s">
        <v>24</v>
      </c>
      <c r="D5" s="60" t="s">
        <v>25</v>
      </c>
      <c r="E5" s="60" t="s">
        <v>26</v>
      </c>
      <c r="F5" s="60" t="s">
        <v>27</v>
      </c>
      <c r="G5" s="62">
        <v>2300000</v>
      </c>
      <c r="H5" s="60">
        <v>5</v>
      </c>
      <c r="I5" s="62">
        <v>11500000</v>
      </c>
      <c r="J5" s="60" t="s">
        <v>14</v>
      </c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s="58" customFormat="1" ht="14.5" spans="1:26">
      <c r="A6" s="60">
        <v>5</v>
      </c>
      <c r="B6" s="61">
        <v>46208</v>
      </c>
      <c r="C6" s="60" t="s">
        <v>28</v>
      </c>
      <c r="D6" s="60" t="s">
        <v>29</v>
      </c>
      <c r="E6" s="60" t="s">
        <v>30</v>
      </c>
      <c r="F6" s="60" t="s">
        <v>31</v>
      </c>
      <c r="G6" s="62">
        <v>180000</v>
      </c>
      <c r="H6" s="60">
        <v>15</v>
      </c>
      <c r="I6" s="62">
        <v>2700000</v>
      </c>
      <c r="J6" s="60" t="s">
        <v>23</v>
      </c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s="58" customFormat="1" ht="14.5" spans="1:26">
      <c r="A7" s="60">
        <v>6</v>
      </c>
      <c r="B7" s="61">
        <v>46209</v>
      </c>
      <c r="C7" s="60" t="s">
        <v>32</v>
      </c>
      <c r="D7" s="60" t="s">
        <v>33</v>
      </c>
      <c r="E7" s="60" t="s">
        <v>34</v>
      </c>
      <c r="F7" s="60" t="s">
        <v>35</v>
      </c>
      <c r="G7" s="62">
        <v>150000</v>
      </c>
      <c r="H7" s="60">
        <v>20</v>
      </c>
      <c r="I7" s="62">
        <v>3000000</v>
      </c>
      <c r="J7" s="60" t="s">
        <v>18</v>
      </c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s="58" customFormat="1" ht="14.5" spans="1:26">
      <c r="A8" s="60">
        <v>7</v>
      </c>
      <c r="B8" s="61">
        <v>46210</v>
      </c>
      <c r="C8" s="60" t="s">
        <v>36</v>
      </c>
      <c r="D8" s="60" t="s">
        <v>37</v>
      </c>
      <c r="E8" s="60" t="s">
        <v>38</v>
      </c>
      <c r="F8" s="60" t="s">
        <v>39</v>
      </c>
      <c r="G8" s="62">
        <v>120000</v>
      </c>
      <c r="H8" s="60">
        <v>30</v>
      </c>
      <c r="I8" s="62">
        <v>3600000</v>
      </c>
      <c r="J8" s="60" t="s">
        <v>14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s="58" customFormat="1" ht="14.5" spans="1:26">
      <c r="A9" s="60">
        <v>8</v>
      </c>
      <c r="B9" s="61">
        <v>46211</v>
      </c>
      <c r="C9" s="60" t="s">
        <v>40</v>
      </c>
      <c r="D9" s="60" t="s">
        <v>41</v>
      </c>
      <c r="E9" s="60" t="s">
        <v>12</v>
      </c>
      <c r="F9" s="60" t="s">
        <v>42</v>
      </c>
      <c r="G9" s="62">
        <v>7200000</v>
      </c>
      <c r="H9" s="60">
        <v>2</v>
      </c>
      <c r="I9" s="62">
        <v>14400000</v>
      </c>
      <c r="J9" s="60" t="s">
        <v>23</v>
      </c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s="58" customFormat="1" ht="14.5" spans="1:26">
      <c r="A10" s="60">
        <v>9</v>
      </c>
      <c r="B10" s="61">
        <v>46212</v>
      </c>
      <c r="C10" s="60" t="s">
        <v>43</v>
      </c>
      <c r="D10" s="60" t="s">
        <v>44</v>
      </c>
      <c r="E10" s="60" t="s">
        <v>21</v>
      </c>
      <c r="F10" s="60" t="s">
        <v>45</v>
      </c>
      <c r="G10" s="62">
        <v>3100000</v>
      </c>
      <c r="H10" s="60">
        <v>3</v>
      </c>
      <c r="I10" s="62">
        <v>9300000</v>
      </c>
      <c r="J10" s="60" t="s">
        <v>14</v>
      </c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s="58" customFormat="1" ht="14.5" spans="1:26">
      <c r="A11" s="60">
        <v>10</v>
      </c>
      <c r="B11" s="61">
        <v>46213</v>
      </c>
      <c r="C11" s="60" t="s">
        <v>46</v>
      </c>
      <c r="D11" s="60" t="s">
        <v>47</v>
      </c>
      <c r="E11" s="60" t="s">
        <v>26</v>
      </c>
      <c r="F11" s="60" t="s">
        <v>48</v>
      </c>
      <c r="G11" s="62">
        <v>3200000</v>
      </c>
      <c r="H11" s="60">
        <v>4</v>
      </c>
      <c r="I11" s="62">
        <v>12800000</v>
      </c>
      <c r="J11" s="60" t="s">
        <v>18</v>
      </c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s="58" customFormat="1" ht="14.5" spans="1:26">
      <c r="A12" s="60"/>
      <c r="B12" s="61"/>
      <c r="C12" s="60"/>
      <c r="D12" s="60"/>
      <c r="E12" s="60"/>
      <c r="F12" s="60"/>
      <c r="G12" s="62"/>
      <c r="H12" s="60"/>
      <c r="I12" s="62"/>
      <c r="J12" s="60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s="58" customFormat="1" ht="14.5" spans="1:26">
      <c r="A13" s="60"/>
      <c r="B13" s="61"/>
      <c r="C13" s="60"/>
      <c r="D13" s="60"/>
      <c r="E13" s="60"/>
      <c r="F13" s="60"/>
      <c r="G13" s="62"/>
      <c r="H13" s="60"/>
      <c r="I13" s="62"/>
      <c r="J13" s="60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s="58" customFormat="1" ht="14.5" spans="1:26">
      <c r="A14" s="63"/>
      <c r="B14" s="63"/>
      <c r="C14" s="60"/>
      <c r="D14" s="60"/>
      <c r="E14" s="60"/>
      <c r="F14" s="60"/>
      <c r="G14" s="62"/>
      <c r="H14" s="60"/>
      <c r="I14" s="62"/>
      <c r="J14" s="60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s="58" customFormat="1" ht="14.5" spans="1:26">
      <c r="A15" s="63"/>
      <c r="B15" s="63"/>
      <c r="C15" s="60"/>
      <c r="D15" s="60"/>
      <c r="E15" s="60"/>
      <c r="F15" s="60"/>
      <c r="G15" s="62"/>
      <c r="H15" s="60"/>
      <c r="I15" s="62"/>
      <c r="J15" s="60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="58" customFormat="1" ht="14.5" spans="1:26">
      <c r="A16" s="63"/>
      <c r="B16" s="63"/>
      <c r="C16" s="60"/>
      <c r="D16" s="60"/>
      <c r="E16" s="60"/>
      <c r="F16" s="60"/>
      <c r="G16" s="62"/>
      <c r="H16" s="60"/>
      <c r="I16" s="62"/>
      <c r="J16" s="60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s="58" customFormat="1" ht="14.5" spans="1:26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s="58" customFormat="1" ht="14.5" spans="1:26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s="58" customFormat="1" ht="14.5" spans="1:26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s="58" customFormat="1" ht="14.5" spans="1:26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s="58" customFormat="1" ht="15.75" customHeight="1" spans="1:26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s="58" customFormat="1" ht="15.75" customHeight="1" spans="1:26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s="58" customFormat="1" ht="15.75" customHeight="1" spans="1:26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s="58" customFormat="1" ht="15.75" customHeight="1" spans="1:26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s="58" customFormat="1" ht="15.75" customHeight="1" spans="1:26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s="58" customFormat="1" ht="15.75" customHeight="1" spans="1:26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s="58" customFormat="1" ht="15.75" customHeight="1" spans="1:26">
      <c r="A27" s="64" t="s">
        <v>49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s="58" customFormat="1" ht="15.75" customHeight="1" spans="1:26">
      <c r="A28" s="65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s="58" customFormat="1" ht="15.75" customHeight="1" spans="1:26">
      <c r="A29" s="65" t="s">
        <v>50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s="58" customFormat="1" ht="15.75" customHeight="1" spans="1:26">
      <c r="A30" s="65" t="s">
        <v>51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s="58" customFormat="1" ht="15.75" customHeight="1" spans="1:26">
      <c r="A31" s="65" t="s">
        <v>52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s="58" customFormat="1" ht="15.75" customHeight="1" spans="1:26">
      <c r="A32" s="65" t="s">
        <v>53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s="58" customFormat="1" ht="15.75" customHeight="1" spans="1:26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s="58" customFormat="1" ht="15.75" customHeight="1" spans="1:26">
      <c r="A34" s="64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s="58" customFormat="1" ht="15.75" customHeight="1" spans="1:26">
      <c r="A35" s="65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s="58" customFormat="1" ht="15.75" customHeight="1" spans="1:26">
      <c r="A36" s="65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s="58" customFormat="1" ht="15.75" customHeight="1" spans="1:26">
      <c r="A37" s="65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s="58" customFormat="1" ht="15.75" customHeight="1" spans="1:26">
      <c r="A38" s="65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s="58" customFormat="1" ht="15.75" customHeight="1" spans="1:26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s="58" customFormat="1" ht="15.75" customHeight="1" spans="1:26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s="58" customFormat="1" ht="15.75" customHeight="1" spans="1:26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s="58" customFormat="1" ht="15.75" customHeight="1" spans="1:26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s="58" customFormat="1" ht="15.75" customHeight="1" spans="1:26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s="58" customFormat="1" ht="15.75" customHeight="1" spans="1:26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s="58" customFormat="1" ht="15.75" customHeight="1" spans="1:26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s="58" customFormat="1" ht="15.75" customHeight="1" spans="1:2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s="58" customFormat="1" ht="15.75" customHeight="1" spans="1:26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s="58" customFormat="1" ht="15.75" customHeight="1" spans="1:26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s="58" customFormat="1" ht="15.75" customHeight="1" spans="1:26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s="58" customFormat="1" ht="15.75" customHeight="1" spans="1:26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s="58" customFormat="1" ht="15.75" customHeight="1" spans="1:26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s="58" customFormat="1" ht="15.75" customHeight="1" spans="1:26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s="58" customFormat="1" ht="15.75" customHeight="1" spans="1:26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s="58" customFormat="1" ht="15.75" customHeight="1" spans="1:26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s="58" customFormat="1" ht="15.75" customHeight="1" spans="1:26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s="58" customFormat="1" ht="15.75" customHeight="1" spans="1:2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s="58" customFormat="1" ht="15.75" customHeight="1" spans="1:26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s="58" customFormat="1" ht="15.75" customHeight="1" spans="1:26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s="58" customFormat="1" ht="15.75" customHeight="1" spans="1:26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s="58" customFormat="1" ht="15.75" customHeight="1" spans="1:26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s="58" customFormat="1" ht="15.75" customHeight="1" spans="1:26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s="58" customFormat="1" ht="15.75" customHeight="1" spans="1:26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s="58" customFormat="1" ht="15.75" customHeight="1" spans="1:26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s="58" customFormat="1" ht="15.75" customHeight="1" spans="1:26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s="58" customFormat="1" ht="15.75" customHeight="1" spans="1:26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s="58" customFormat="1" ht="15.75" customHeight="1" spans="1:2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s="58" customFormat="1" ht="15.75" customHeight="1" spans="1:26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s="58" customFormat="1" ht="15.75" customHeight="1" spans="1:26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s="58" customFormat="1" ht="15.75" customHeight="1" spans="1:26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s="58" customFormat="1" ht="15.75" customHeight="1" spans="1:26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s="58" customFormat="1" ht="15.75" customHeight="1" spans="1:26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s="58" customFormat="1" ht="15.75" customHeight="1" spans="1:26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s="58" customFormat="1" ht="15.75" customHeight="1" spans="1:26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s="58" customFormat="1" ht="15.75" customHeight="1" spans="1:26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s="58" customFormat="1" ht="15.75" customHeight="1" spans="1:26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s="58" customFormat="1" ht="15.75" customHeight="1" spans="1:2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s="58" customFormat="1" ht="15.75" customHeight="1" spans="1:26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s="58" customFormat="1" ht="15.75" customHeight="1" spans="1:26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s="58" customFormat="1" ht="15.75" customHeight="1" spans="1:26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s="58" customFormat="1" ht="15.75" customHeight="1" spans="1:26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s="58" customFormat="1" ht="15.75" customHeight="1" spans="1:26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s="58" customFormat="1" ht="15.75" customHeight="1" spans="1:26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s="58" customFormat="1" ht="15.75" customHeight="1" spans="1:26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s="58" customFormat="1" ht="15.75" customHeight="1" spans="1:26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s="58" customFormat="1" ht="15.75" customHeight="1" spans="1:26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s="58" customFormat="1" ht="15.75" customHeight="1" spans="1:2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s="58" customFormat="1" ht="15.75" customHeight="1" spans="1:26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s="58" customFormat="1" ht="15.75" customHeight="1" spans="1:26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s="58" customFormat="1" ht="15.75" customHeight="1" spans="1:26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s="58" customFormat="1" ht="15.75" customHeight="1" spans="1:26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s="58" customFormat="1" ht="15.75" customHeight="1" spans="1:26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s="58" customFormat="1" ht="15.75" customHeight="1" spans="1:26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s="58" customFormat="1" ht="15.75" customHeight="1" spans="1:26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s="58" customFormat="1" ht="15.75" customHeight="1" spans="1:26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s="58" customFormat="1" ht="15.75" customHeight="1" spans="1:26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s="58" customFormat="1" ht="15.75" customHeight="1" spans="1:2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s="58" customFormat="1" ht="15.75" customHeight="1" spans="1:26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s="58" customFormat="1" ht="15.75" customHeight="1" spans="1:26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s="58" customFormat="1" ht="15.75" customHeight="1" spans="1:26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s="58" customFormat="1" ht="15.75" customHeight="1" spans="1:26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s="58" customFormat="1" ht="15.75" customHeight="1" spans="1:26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s="58" customFormat="1" ht="15.75" customHeight="1" spans="1:26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s="58" customFormat="1" ht="15.75" customHeight="1" spans="1:26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s="58" customFormat="1" ht="15.75" customHeight="1" spans="1:26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s="58" customFormat="1" ht="15.75" customHeight="1" spans="1:26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s="58" customFormat="1" ht="15.75" customHeight="1" spans="1:2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s="58" customFormat="1" ht="15.75" customHeight="1" spans="1:26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s="58" customFormat="1" ht="15.75" customHeight="1" spans="1:26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s="58" customFormat="1" ht="15.75" customHeight="1" spans="1:26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s="58" customFormat="1" ht="15.75" customHeight="1" spans="1:26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s="58" customFormat="1" ht="15.75" customHeight="1" spans="1:26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s="58" customFormat="1" ht="15.75" customHeight="1" spans="1:26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s="58" customFormat="1" ht="15.75" customHeight="1" spans="1:26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s="58" customFormat="1" ht="15.75" customHeight="1" spans="1:26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s="58" customFormat="1" ht="15.75" customHeight="1" spans="1:26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s="58" customFormat="1" ht="15.75" customHeight="1" spans="1:2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s="58" customFormat="1" ht="15.75" customHeight="1" spans="1:26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s="58" customFormat="1" ht="15.75" customHeight="1" spans="1:26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s="58" customFormat="1" ht="15.75" customHeight="1" spans="1:26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s="58" customFormat="1" ht="15.75" customHeight="1" spans="1:26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s="58" customFormat="1" ht="15.75" customHeight="1" spans="1:26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s="58" customFormat="1" ht="15.75" customHeight="1" spans="1:26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s="58" customFormat="1" ht="15.75" customHeight="1" spans="1:26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s="58" customFormat="1" ht="15.75" customHeight="1" spans="1:26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s="58" customFormat="1" ht="15.75" customHeight="1" spans="1:26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s="58" customFormat="1" ht="15.75" customHeight="1" spans="1: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s="58" customFormat="1" ht="15.75" customHeight="1" spans="1:26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s="58" customFormat="1" ht="15.75" customHeight="1" spans="1:26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s="58" customFormat="1" ht="15.75" customHeight="1" spans="1:26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s="58" customFormat="1" ht="15.75" customHeight="1" spans="1:26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s="58" customFormat="1" ht="15.75" customHeight="1" spans="1:26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s="58" customFormat="1" ht="15.75" customHeight="1" spans="1:26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s="58" customFormat="1" ht="15.75" customHeight="1" spans="1:26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s="58" customFormat="1" ht="15.75" customHeight="1" spans="1:26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s="58" customFormat="1" ht="15.75" customHeight="1" spans="1:26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s="58" customFormat="1" ht="15.75" customHeight="1" spans="1:2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s="58" customFormat="1" ht="15.75" customHeight="1" spans="1:26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s="58" customFormat="1" ht="15.75" customHeight="1" spans="1:26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s="58" customFormat="1" ht="15.75" customHeight="1" spans="1:26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s="58" customFormat="1" ht="15.75" customHeight="1" spans="1:26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s="58" customFormat="1" ht="15.75" customHeight="1" spans="1:26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s="58" customFormat="1" ht="15.75" customHeight="1" spans="1:26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s="58" customFormat="1" ht="15.75" customHeight="1" spans="1:26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s="58" customFormat="1" ht="15.75" customHeight="1" spans="1:26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s="58" customFormat="1" ht="15.75" customHeight="1" spans="1:26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s="58" customFormat="1" ht="15.75" customHeight="1" spans="1:2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s="58" customFormat="1" ht="15.75" customHeight="1" spans="1:26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s="58" customFormat="1" ht="15.75" customHeight="1" spans="1:26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s="58" customFormat="1" ht="15.75" customHeight="1" spans="1:26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s="58" customFormat="1" ht="15.75" customHeight="1" spans="1:26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s="58" customFormat="1" ht="15.75" customHeight="1" spans="1:26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s="58" customFormat="1" ht="15.75" customHeight="1" spans="1:26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s="58" customFormat="1" ht="15.75" customHeight="1" spans="1:26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s="58" customFormat="1" ht="15.75" customHeight="1" spans="1:26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s="58" customFormat="1" ht="15.75" customHeight="1" spans="1:26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s="58" customFormat="1" ht="15.75" customHeight="1" spans="1:2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s="58" customFormat="1" ht="15.75" customHeight="1" spans="1:26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s="58" customFormat="1" ht="15.75" customHeight="1" spans="1:26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s="58" customFormat="1" ht="15.75" customHeight="1" spans="1:26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s="58" customFormat="1" ht="15.75" customHeight="1" spans="1:26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s="58" customFormat="1" ht="15.75" customHeight="1" spans="1:26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s="58" customFormat="1" ht="15.75" customHeight="1" spans="1:26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s="58" customFormat="1" ht="15.75" customHeight="1" spans="1:26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s="58" customFormat="1" ht="15.75" customHeight="1" spans="1:26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s="58" customFormat="1" ht="15.75" customHeight="1" spans="1:26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s="58" customFormat="1" ht="15.75" customHeight="1" spans="1:2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s="58" customFormat="1" ht="15.75" customHeight="1" spans="1:26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s="58" customFormat="1" ht="15.75" customHeight="1" spans="1:26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s="58" customFormat="1" ht="15.75" customHeight="1" spans="1:26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s="58" customFormat="1" ht="15.75" customHeight="1" spans="1:26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s="58" customFormat="1" ht="15.75" customHeight="1" spans="1:26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s="58" customFormat="1" ht="15.75" customHeight="1" spans="1:26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s="58" customFormat="1" ht="15.75" customHeight="1" spans="1:26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s="58" customFormat="1" ht="15.75" customHeight="1" spans="1:26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s="58" customFormat="1" ht="15.75" customHeight="1" spans="1:26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s="58" customFormat="1" ht="15.75" customHeight="1" spans="1:2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s="58" customFormat="1" ht="15.75" customHeight="1" spans="1:26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s="58" customFormat="1" ht="15.75" customHeight="1" spans="1:26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s="58" customFormat="1" ht="15.75" customHeight="1" spans="1:26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s="58" customFormat="1" ht="15.75" customHeight="1" spans="1:26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s="58" customFormat="1" ht="15.75" customHeight="1" spans="1:26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s="58" customFormat="1" ht="15.75" customHeight="1" spans="1:26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s="58" customFormat="1" ht="15.75" customHeight="1" spans="1:26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s="58" customFormat="1" ht="15.75" customHeight="1" spans="1:26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s="58" customFormat="1" ht="15.75" customHeight="1" spans="1:26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s="58" customFormat="1" ht="15.75" customHeight="1" spans="1:2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s="58" customFormat="1" ht="15.75" customHeight="1" spans="1:26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s="58" customFormat="1" ht="15.75" customHeight="1" spans="1:26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s="58" customFormat="1" ht="15.75" customHeight="1" spans="1:26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s="58" customFormat="1" ht="15.75" customHeight="1" spans="1:26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s="58" customFormat="1" ht="15.75" customHeight="1" spans="1:26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s="58" customFormat="1" ht="15.75" customHeight="1" spans="1:26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s="58" customFormat="1" ht="15.75" customHeight="1" spans="1:26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s="58" customFormat="1" ht="15.75" customHeight="1" spans="1:26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s="58" customFormat="1" ht="15.75" customHeight="1" spans="1:26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s="58" customFormat="1" ht="15.75" customHeight="1" spans="1:2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s="58" customFormat="1" ht="15.75" customHeight="1" spans="1:26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s="58" customFormat="1" ht="15.75" customHeight="1" spans="1:26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s="58" customFormat="1" ht="15.75" customHeight="1" spans="1:26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s="58" customFormat="1" ht="15.75" customHeight="1" spans="1:26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s="58" customFormat="1" ht="15.75" customHeight="1" spans="1:26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s="58" customFormat="1" ht="15.75" customHeight="1" spans="1:26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s="58" customFormat="1" ht="15.75" customHeight="1" spans="1:26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s="58" customFormat="1" ht="15.75" customHeight="1" spans="1:26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s="58" customFormat="1" ht="15.75" customHeight="1" spans="1:26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s="58" customFormat="1" ht="15.75" customHeight="1" spans="1:2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s="58" customFormat="1" ht="15.75" customHeight="1" spans="1:26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s="58" customFormat="1" ht="15.75" customHeight="1" spans="1:26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s="58" customFormat="1" ht="15.75" customHeight="1" spans="1:26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s="58" customFormat="1" ht="15.75" customHeight="1" spans="1:26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s="58" customFormat="1" ht="15.75" customHeight="1" spans="1:26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s="58" customFormat="1" ht="15.75" customHeight="1" spans="1:26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s="58" customFormat="1" ht="15.75" customHeight="1" spans="1:26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s="58" customFormat="1" ht="15.75" customHeight="1" spans="1:26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s="58" customFormat="1" ht="15.75" customHeight="1" spans="1:26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s="58" customFormat="1" ht="15.75" customHeight="1" spans="1:2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s="58" customFormat="1" ht="15.75" customHeight="1" spans="1:26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s="58" customFormat="1" ht="15.75" customHeight="1" spans="1:26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s="58" customFormat="1" ht="15.75" customHeight="1" spans="1:26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s="58" customFormat="1" ht="15.75" customHeight="1" spans="1:26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s="58" customFormat="1" ht="15.75" customHeight="1" spans="1:26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s="58" customFormat="1" ht="15.75" customHeight="1" spans="1:26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s="58" customFormat="1" ht="15.75" customHeight="1" spans="1:26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s="58" customFormat="1" ht="15.75" customHeight="1" spans="1:26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s="58" customFormat="1" ht="15.75" customHeight="1" spans="1:26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s="58" customFormat="1" ht="15.75" customHeight="1" spans="1: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s="58" customFormat="1" ht="15.75" customHeight="1" spans="1:26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s="58" customFormat="1" ht="15.75" customHeight="1" spans="1:26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s="58" customFormat="1" ht="15.75" customHeight="1" spans="1:26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s="58" customFormat="1" ht="15.75" customHeight="1" spans="1:26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s="58" customFormat="1" ht="15.75" customHeight="1" spans="1:26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s="58" customFormat="1" ht="15.75" customHeight="1" spans="1:26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s="58" customFormat="1" ht="15.75" customHeight="1" spans="1:26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s="58" customFormat="1" ht="15.75" customHeight="1" spans="1:26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s="58" customFormat="1" ht="15.75" customHeight="1" spans="1:26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s="58" customFormat="1" ht="15.75" customHeight="1" spans="1:2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s="58" customFormat="1" ht="15.75" customHeight="1" spans="1:26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s="58" customFormat="1" ht="15.75" customHeight="1" spans="1:26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s="58" customFormat="1" ht="15.75" customHeight="1" spans="1:26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s="58" customFormat="1" ht="15.75" customHeight="1" spans="1:26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s="58" customFormat="1" ht="15.75" customHeight="1" spans="1:26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s="58" customFormat="1" ht="15.75" customHeight="1" spans="1:26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s="58" customFormat="1" ht="15.75" customHeight="1" spans="1:26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s="58" customFormat="1" ht="15.75" customHeight="1" spans="1:26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s="58" customFormat="1" ht="15.75" customHeight="1" spans="1:26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s="58" customFormat="1" ht="15.75" customHeight="1" spans="1:2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s="58" customFormat="1" ht="15.75" customHeight="1" spans="1:26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s="58" customFormat="1" ht="15.75" customHeight="1" spans="1:26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s="58" customFormat="1" ht="15.75" customHeight="1" spans="1:26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s="58" customFormat="1" ht="15.75" customHeight="1" spans="1:26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s="58" customFormat="1" ht="15.75" customHeight="1" spans="1:26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s="58" customFormat="1" ht="15.75" customHeight="1" spans="1:26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s="58" customFormat="1" ht="15.75" customHeight="1" spans="1:26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s="58" customFormat="1" ht="15.75" customHeight="1" spans="1:26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s="58" customFormat="1" ht="15.75" customHeight="1" spans="1:26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s="58" customFormat="1" ht="15.75" customHeight="1" spans="1:2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s="58" customFormat="1" ht="15.75" customHeight="1" spans="1:26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s="58" customFormat="1" ht="15.75" customHeight="1" spans="1:26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s="58" customFormat="1" ht="15.75" customHeight="1" spans="1:26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s="58" customFormat="1" ht="15.75" customHeight="1" spans="1:26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s="58" customFormat="1" ht="15.75" customHeight="1" spans="1:26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s="58" customFormat="1" ht="15.75" customHeight="1" spans="1:26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s="58" customFormat="1" ht="15.75" customHeight="1" spans="1:26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s="58" customFormat="1" ht="15.75" customHeight="1" spans="1:26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s="58" customFormat="1" ht="15.75" customHeight="1" spans="1:26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s="58" customFormat="1" ht="15.75" customHeight="1" spans="1:2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s="58" customFormat="1" ht="15.75" customHeight="1" spans="1:26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s="58" customFormat="1" ht="15.75" customHeight="1" spans="1:26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s="58" customFormat="1" ht="15.75" customHeight="1" spans="1:26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s="58" customFormat="1" ht="15.75" customHeight="1" spans="1:26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s="58" customFormat="1" ht="15.75" customHeight="1" spans="1:26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s="58" customFormat="1" ht="15.75" customHeight="1" spans="1:26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s="58" customFormat="1" ht="15.75" customHeight="1" spans="1:26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s="58" customFormat="1" ht="15.75" customHeight="1" spans="1:26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s="58" customFormat="1" ht="15.75" customHeight="1" spans="1:26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s="58" customFormat="1" ht="15.75" customHeight="1" spans="1:2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s="58" customFormat="1" ht="15.75" customHeight="1" spans="1:26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s="58" customFormat="1" ht="15.75" customHeight="1" spans="1:26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s="58" customFormat="1" ht="15.75" customHeight="1" spans="1:26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s="58" customFormat="1" ht="15.75" customHeight="1" spans="1:26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s="58" customFormat="1" ht="15.75" customHeight="1" spans="1:26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s="58" customFormat="1" ht="15.75" customHeight="1" spans="1:26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s="58" customFormat="1" ht="15.75" customHeight="1" spans="1:26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s="58" customFormat="1" ht="15.75" customHeight="1" spans="1:26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s="58" customFormat="1" ht="15.75" customHeight="1" spans="1:26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s="58" customFormat="1" ht="15.75" customHeight="1" spans="1:2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s="58" customFormat="1" ht="15.75" customHeight="1" spans="1:26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s="58" customFormat="1" ht="15.75" customHeight="1" spans="1:26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s="58" customFormat="1" ht="15.75" customHeight="1" spans="1:26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s="58" customFormat="1" ht="15.75" customHeight="1" spans="1:26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s="58" customFormat="1" ht="15.75" customHeight="1" spans="1:26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s="58" customFormat="1" ht="15.75" customHeight="1" spans="1:26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s="58" customFormat="1" ht="15.75" customHeight="1" spans="1:26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s="58" customFormat="1" ht="15.75" customHeight="1" spans="1:26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s="58" customFormat="1" ht="15.75" customHeight="1" spans="1:26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s="58" customFormat="1" ht="15.75" customHeight="1" spans="1:2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s="58" customFormat="1" ht="15.75" customHeight="1" spans="1:26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s="58" customFormat="1" ht="15.75" customHeight="1" spans="1:26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s="58" customFormat="1" ht="15.75" customHeight="1" spans="1:26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s="58" customFormat="1" ht="15.75" customHeight="1" spans="1:26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s="58" customFormat="1" ht="15.75" customHeight="1" spans="1:26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s="58" customFormat="1" ht="15.75" customHeight="1" spans="1:26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s="58" customFormat="1" ht="15.75" customHeight="1" spans="1:26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s="58" customFormat="1" ht="15.75" customHeight="1" spans="1:26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s="58" customFormat="1" ht="15.75" customHeight="1" spans="1:26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s="58" customFormat="1" ht="15.75" customHeight="1" spans="1:2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s="58" customFormat="1" ht="15.75" customHeight="1" spans="1:26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s="58" customFormat="1" ht="15.75" customHeight="1" spans="1:26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s="58" customFormat="1" ht="15.75" customHeight="1" spans="1:26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s="58" customFormat="1" ht="15.75" customHeight="1" spans="1:26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s="58" customFormat="1" ht="15.75" customHeight="1" spans="1:26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s="58" customFormat="1" ht="15.75" customHeight="1" spans="1:26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s="58" customFormat="1" ht="15.75" customHeight="1" spans="1:26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s="58" customFormat="1" ht="15.75" customHeight="1" spans="1:26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s="58" customFormat="1" ht="15.75" customHeight="1" spans="1:26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s="58" customFormat="1" ht="15.75" customHeight="1" spans="1:2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s="58" customFormat="1" ht="15.75" customHeight="1" spans="1:26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s="58" customFormat="1" ht="15.75" customHeight="1" spans="1:26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s="58" customFormat="1" ht="15.75" customHeight="1" spans="1:26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s="58" customFormat="1" ht="15.75" customHeight="1" spans="1:26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s="58" customFormat="1" ht="15.75" customHeight="1" spans="1:26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s="58" customFormat="1" ht="15.75" customHeight="1" spans="1:26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s="58" customFormat="1" ht="15.75" customHeight="1" spans="1:26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s="58" customFormat="1" ht="15.75" customHeight="1" spans="1:26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s="58" customFormat="1" ht="15.75" customHeight="1" spans="1:26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s="58" customFormat="1" ht="15.75" customHeight="1" spans="1: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s="58" customFormat="1" ht="15.75" customHeight="1" spans="1:26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s="58" customFormat="1" ht="15.75" customHeight="1" spans="1:26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s="58" customFormat="1" ht="15.75" customHeight="1" spans="1:26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s="58" customFormat="1" ht="15.75" customHeight="1" spans="1:26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s="58" customFormat="1" ht="15.75" customHeight="1" spans="1:26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s="58" customFormat="1" ht="15.75" customHeight="1" spans="1:26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s="58" customFormat="1" ht="15.75" customHeight="1" spans="1:26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s="58" customFormat="1" ht="15.75" customHeight="1" spans="1:26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s="58" customFormat="1" ht="15.75" customHeight="1" spans="1:26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s="58" customFormat="1" ht="15.75" customHeight="1" spans="1:2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s="58" customFormat="1" ht="15.75" customHeight="1" spans="1:26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s="58" customFormat="1" ht="15.75" customHeight="1" spans="1:26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s="58" customFormat="1" ht="15.75" customHeight="1" spans="1:26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s="58" customFormat="1" ht="15.75" customHeight="1" spans="1:26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s="58" customFormat="1" ht="15.75" customHeight="1" spans="1:26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s="58" customFormat="1" ht="15.75" customHeight="1" spans="1:26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s="58" customFormat="1" ht="15.75" customHeight="1" spans="1:26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s="58" customFormat="1" ht="15.75" customHeight="1" spans="1:26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s="58" customFormat="1" ht="15.75" customHeight="1" spans="1:26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s="58" customFormat="1" ht="15.75" customHeight="1" spans="1:2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s="58" customFormat="1" ht="15.75" customHeight="1" spans="1:26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s="58" customFormat="1" ht="15.75" customHeight="1" spans="1:26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s="58" customFormat="1" ht="15.75" customHeight="1" spans="1:26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s="58" customFormat="1" ht="15.75" customHeight="1" spans="1:26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s="58" customFormat="1" ht="15.75" customHeight="1" spans="1:26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s="58" customFormat="1" ht="15.75" customHeight="1" spans="1:26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s="58" customFormat="1" ht="15.75" customHeight="1" spans="1:26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s="58" customFormat="1" ht="15.75" customHeight="1" spans="1:26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s="58" customFormat="1" ht="15.75" customHeight="1" spans="1:26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s="58" customFormat="1" ht="15.75" customHeight="1" spans="1:2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s="58" customFormat="1" ht="15.75" customHeight="1" spans="1:26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s="58" customFormat="1" ht="15.75" customHeight="1" spans="1:26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s="58" customFormat="1" ht="15.75" customHeight="1" spans="1:26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s="58" customFormat="1" ht="15.75" customHeight="1" spans="1:26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s="58" customFormat="1" ht="15.75" customHeight="1" spans="1:26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s="58" customFormat="1" ht="15.75" customHeight="1" spans="1:26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s="58" customFormat="1" ht="15.75" customHeight="1" spans="1:26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s="58" customFormat="1" ht="15.75" customHeight="1" spans="1:26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s="58" customFormat="1" ht="15.75" customHeight="1" spans="1:26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s="58" customFormat="1" ht="15.75" customHeight="1" spans="1:2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s="58" customFormat="1" ht="15.75" customHeight="1" spans="1:26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s="58" customFormat="1" ht="15.75" customHeight="1" spans="1:26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s="58" customFormat="1" ht="15.75" customHeight="1" spans="1:26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s="58" customFormat="1" ht="15.75" customHeight="1" spans="1:26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s="58" customFormat="1" ht="15.75" customHeight="1" spans="1:26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s="58" customFormat="1" ht="15.75" customHeight="1" spans="1:26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s="58" customFormat="1" ht="15.75" customHeight="1" spans="1:26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s="58" customFormat="1" ht="15.75" customHeight="1" spans="1:26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s="58" customFormat="1" ht="15.75" customHeight="1" spans="1:26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s="58" customFormat="1" ht="15.75" customHeight="1" spans="1:2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s="58" customFormat="1" ht="15.75" customHeight="1" spans="1:26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s="58" customFormat="1" ht="15.75" customHeight="1" spans="1:26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s="58" customFormat="1" ht="15.75" customHeight="1" spans="1:26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s="58" customFormat="1" ht="15.75" customHeight="1" spans="1:26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s="58" customFormat="1" ht="15.75" customHeight="1" spans="1:26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s="58" customFormat="1" ht="15.75" customHeight="1" spans="1:26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s="58" customFormat="1" ht="15.75" customHeight="1" spans="1:26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s="58" customFormat="1" ht="15.75" customHeight="1" spans="1:26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s="58" customFormat="1" ht="15.75" customHeight="1" spans="1:26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s="58" customFormat="1" ht="15.75" customHeight="1" spans="1:2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s="58" customFormat="1" ht="15.75" customHeight="1" spans="1:26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s="58" customFormat="1" ht="15.75" customHeight="1" spans="1:26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s="58" customFormat="1" ht="15.75" customHeight="1" spans="1:26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s="58" customFormat="1" ht="15.75" customHeight="1" spans="1:26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s="58" customFormat="1" ht="15.75" customHeight="1" spans="1:26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s="58" customFormat="1" ht="15.75" customHeight="1" spans="1:26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s="58" customFormat="1" ht="15.75" customHeight="1" spans="1:26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s="58" customFormat="1" ht="15.75" customHeight="1" spans="1:26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s="58" customFormat="1" ht="15.75" customHeight="1" spans="1:26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s="58" customFormat="1" ht="15.75" customHeight="1" spans="1:2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s="58" customFormat="1" ht="15.75" customHeight="1" spans="1:26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s="58" customFormat="1" ht="15.75" customHeight="1" spans="1:26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s="58" customFormat="1" ht="15.75" customHeight="1" spans="1:26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s="58" customFormat="1" ht="15.75" customHeight="1" spans="1:26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s="58" customFormat="1" ht="15.75" customHeight="1" spans="1:26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s="58" customFormat="1" ht="15.75" customHeight="1" spans="1:26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s="58" customFormat="1" ht="15.75" customHeight="1" spans="1:26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s="58" customFormat="1" ht="15.75" customHeight="1" spans="1:26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s="58" customFormat="1" ht="15.75" customHeight="1" spans="1:26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s="58" customFormat="1" ht="15.75" customHeight="1" spans="1:2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s="58" customFormat="1" ht="15.75" customHeight="1" spans="1:26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s="58" customFormat="1" ht="15.75" customHeight="1" spans="1:26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s="58" customFormat="1" ht="15.75" customHeight="1" spans="1:26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s="58" customFormat="1" ht="15.75" customHeight="1" spans="1:26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s="58" customFormat="1" ht="15.75" customHeight="1" spans="1:26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s="58" customFormat="1" ht="15.75" customHeight="1" spans="1:26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s="58" customFormat="1" ht="15.75" customHeight="1" spans="1:26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s="58" customFormat="1" ht="15.75" customHeight="1" spans="1:26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s="58" customFormat="1" ht="15.75" customHeight="1" spans="1:26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s="58" customFormat="1" ht="15.75" customHeight="1" spans="1:2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s="58" customFormat="1" ht="15.75" customHeight="1" spans="1:26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s="58" customFormat="1" ht="15.75" customHeight="1" spans="1:26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s="58" customFormat="1" ht="15.75" customHeight="1" spans="1:26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s="58" customFormat="1" ht="15.75" customHeight="1" spans="1:26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s="58" customFormat="1" ht="15.75" customHeight="1" spans="1:26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s="58" customFormat="1" ht="15.75" customHeight="1" spans="1:26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s="58" customFormat="1" ht="15.75" customHeight="1" spans="1:26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s="58" customFormat="1" ht="15.75" customHeight="1" spans="1:26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s="58" customFormat="1" ht="15.75" customHeight="1" spans="1:26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s="58" customFormat="1" ht="15.75" customHeight="1" spans="1: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s="58" customFormat="1" ht="15.75" customHeight="1" spans="1:26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s="58" customFormat="1" ht="15.75" customHeight="1" spans="1:26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s="58" customFormat="1" ht="15.75" customHeight="1" spans="1:26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s="58" customFormat="1" ht="15.75" customHeight="1" spans="1:26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s="58" customFormat="1" ht="15.75" customHeight="1" spans="1:26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s="58" customFormat="1" ht="15.75" customHeight="1" spans="1:26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s="58" customFormat="1" ht="15.75" customHeight="1" spans="1:26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s="58" customFormat="1" ht="15.75" customHeight="1" spans="1:26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s="58" customFormat="1" ht="15.75" customHeight="1" spans="1:26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s="58" customFormat="1" ht="15.75" customHeight="1" spans="1:2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s="58" customFormat="1" ht="15.75" customHeight="1" spans="1:26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s="58" customFormat="1" ht="15.75" customHeight="1" spans="1:26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s="58" customFormat="1" ht="15.75" customHeight="1" spans="1:26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s="58" customFormat="1" ht="15.75" customHeight="1" spans="1:26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s="58" customFormat="1" ht="15.75" customHeight="1" spans="1:26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s="58" customFormat="1" ht="15.75" customHeight="1" spans="1:26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s="58" customFormat="1" ht="15.75" customHeight="1" spans="1:26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s="58" customFormat="1" ht="15.75" customHeight="1" spans="1:26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s="58" customFormat="1" ht="15.75" customHeight="1" spans="1:26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s="58" customFormat="1" ht="15.75" customHeight="1" spans="1:2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s="58" customFormat="1" ht="15.75" customHeight="1" spans="1:26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s="58" customFormat="1" ht="15.75" customHeight="1" spans="1:26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s="58" customFormat="1" ht="15.75" customHeight="1" spans="1:26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s="58" customFormat="1" ht="15.75" customHeight="1" spans="1:26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s="58" customFormat="1" ht="15.75" customHeight="1" spans="1:26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s="58" customFormat="1" ht="15.75" customHeight="1" spans="1:26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s="58" customFormat="1" ht="15.75" customHeight="1" spans="1:26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s="58" customFormat="1" ht="15.75" customHeight="1" spans="1:26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s="58" customFormat="1" ht="15.75" customHeight="1" spans="1:26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s="58" customFormat="1" ht="15.75" customHeight="1" spans="1:2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s="58" customFormat="1" ht="15.75" customHeight="1" spans="1:26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s="58" customFormat="1" ht="15.75" customHeight="1" spans="1:26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s="58" customFormat="1" ht="15.75" customHeight="1" spans="1:26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s="58" customFormat="1" ht="15.75" customHeight="1" spans="1:26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s="58" customFormat="1" ht="15.75" customHeight="1" spans="1:26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s="58" customFormat="1" ht="15.75" customHeight="1" spans="1:26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s="58" customFormat="1" ht="15.75" customHeight="1" spans="1:26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s="58" customFormat="1" ht="15.75" customHeight="1" spans="1:26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s="58" customFormat="1" ht="15.75" customHeight="1" spans="1:26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s="58" customFormat="1" ht="15.75" customHeight="1" spans="1:2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s="58" customFormat="1" ht="15.75" customHeight="1" spans="1:26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s="58" customFormat="1" ht="15.75" customHeight="1" spans="1:26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s="58" customFormat="1" ht="15.75" customHeight="1" spans="1:26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s="58" customFormat="1" ht="15.75" customHeight="1" spans="1:26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s="58" customFormat="1" ht="15.75" customHeight="1" spans="1:26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s="58" customFormat="1" ht="15.75" customHeight="1" spans="1:26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s="58" customFormat="1" ht="15.75" customHeight="1" spans="1:26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s="58" customFormat="1" ht="15.75" customHeight="1" spans="1:26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s="58" customFormat="1" ht="15.75" customHeight="1" spans="1:26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s="58" customFormat="1" ht="15.75" customHeight="1" spans="1:2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s="58" customFormat="1" ht="15.75" customHeight="1" spans="1:26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s="58" customFormat="1" ht="15.75" customHeight="1" spans="1:26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s="58" customFormat="1" ht="15.75" customHeight="1" spans="1:26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s="58" customFormat="1" ht="15.75" customHeight="1" spans="1:26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s="58" customFormat="1" ht="15.75" customHeight="1" spans="1:26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s="58" customFormat="1" ht="15.75" customHeight="1" spans="1:26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s="58" customFormat="1" ht="15.75" customHeight="1" spans="1:26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s="58" customFormat="1" ht="15.75" customHeight="1" spans="1:26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s="58" customFormat="1" ht="15.75" customHeight="1" spans="1:26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s="58" customFormat="1" ht="15.75" customHeight="1" spans="1:2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s="58" customFormat="1" ht="15.75" customHeight="1" spans="1:26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s="58" customFormat="1" ht="15.75" customHeight="1" spans="1:26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s="58" customFormat="1" ht="15.75" customHeight="1" spans="1:26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s="58" customFormat="1" ht="15.75" customHeight="1" spans="1:26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s="58" customFormat="1" ht="15.75" customHeight="1" spans="1:26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s="58" customFormat="1" ht="15.75" customHeight="1" spans="1:26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s="58" customFormat="1" ht="15.75" customHeight="1" spans="1:26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s="58" customFormat="1" ht="15.75" customHeight="1" spans="1:26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s="58" customFormat="1" ht="15.75" customHeight="1" spans="1:26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s="58" customFormat="1" ht="15.75" customHeight="1" spans="1:2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s="58" customFormat="1" ht="15.75" customHeight="1" spans="1:26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s="58" customFormat="1" ht="15.75" customHeight="1" spans="1:26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s="58" customFormat="1" ht="15.75" customHeight="1" spans="1:26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s="58" customFormat="1" ht="15.75" customHeight="1" spans="1:26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s="58" customFormat="1" ht="15.75" customHeight="1" spans="1:26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s="58" customFormat="1" ht="15.75" customHeight="1" spans="1:26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s="58" customFormat="1" ht="15.75" customHeight="1" spans="1:26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s="58" customFormat="1" ht="15.75" customHeight="1" spans="1:26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s="58" customFormat="1" ht="15.75" customHeight="1" spans="1:26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s="58" customFormat="1" ht="15.75" customHeight="1" spans="1:2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s="58" customFormat="1" ht="15.75" customHeight="1" spans="1:26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s="58" customFormat="1" ht="15.75" customHeight="1" spans="1:26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s="58" customFormat="1" ht="15.75" customHeight="1" spans="1:26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s="58" customFormat="1" ht="15.75" customHeight="1" spans="1:26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s="58" customFormat="1" ht="15.75" customHeight="1" spans="1:26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s="58" customFormat="1" ht="15.75" customHeight="1" spans="1:26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s="58" customFormat="1" ht="15.75" customHeight="1" spans="1:26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s="58" customFormat="1" ht="15.75" customHeight="1" spans="1:26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s="58" customFormat="1" ht="15.75" customHeight="1" spans="1:26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s="58" customFormat="1" ht="15.75" customHeight="1" spans="1:2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s="58" customFormat="1" ht="15.75" customHeight="1" spans="1:26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s="58" customFormat="1" ht="15.75" customHeight="1" spans="1:26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s="58" customFormat="1" ht="15.75" customHeight="1" spans="1:26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s="58" customFormat="1" ht="15.75" customHeight="1" spans="1:26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s="58" customFormat="1" ht="15.75" customHeight="1" spans="1:26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s="58" customFormat="1" ht="15.75" customHeight="1" spans="1:26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s="58" customFormat="1" ht="15.75" customHeight="1" spans="1:26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s="58" customFormat="1" ht="15.75" customHeight="1" spans="1:26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s="58" customFormat="1" ht="15.75" customHeight="1" spans="1:26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s="58" customFormat="1" ht="15.75" customHeight="1" spans="1: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s="58" customFormat="1" ht="15.75" customHeight="1" spans="1:26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s="58" customFormat="1" ht="15.75" customHeight="1" spans="1:26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s="58" customFormat="1" ht="15.75" customHeight="1" spans="1:26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s="58" customFormat="1" ht="15.75" customHeight="1" spans="1:26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s="58" customFormat="1" ht="15.75" customHeight="1" spans="1:26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s="58" customFormat="1" ht="15.75" customHeight="1" spans="1:26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s="58" customFormat="1" ht="15.75" customHeight="1" spans="1:26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s="58" customFormat="1" ht="15.75" customHeight="1" spans="1:26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s="58" customFormat="1" ht="15.75" customHeight="1" spans="1:26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s="58" customFormat="1" ht="15.75" customHeight="1" spans="1:2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s="58" customFormat="1" ht="15.75" customHeight="1" spans="1:26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s="58" customFormat="1" ht="15.75" customHeight="1" spans="1:26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s="58" customFormat="1" ht="15.75" customHeight="1" spans="1:26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s="58" customFormat="1" ht="15.75" customHeight="1" spans="1:26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s="58" customFormat="1" ht="15.75" customHeight="1" spans="1:26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s="58" customFormat="1" ht="15.75" customHeight="1" spans="1:26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s="58" customFormat="1" ht="15.75" customHeight="1" spans="1:26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s="58" customFormat="1" ht="15.75" customHeight="1" spans="1:26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s="58" customFormat="1" ht="15.75" customHeight="1" spans="1:26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s="58" customFormat="1" ht="15.75" customHeight="1" spans="1:2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s="58" customFormat="1" ht="15.75" customHeight="1" spans="1:26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s="58" customFormat="1" ht="15.75" customHeight="1" spans="1:26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s="58" customFormat="1" ht="15.75" customHeight="1" spans="1:26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s="58" customFormat="1" ht="15.75" customHeight="1" spans="1:26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s="58" customFormat="1" ht="15.75" customHeight="1" spans="1:26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s="58" customFormat="1" ht="15.75" customHeight="1" spans="1:26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s="58" customFormat="1" ht="15.75" customHeight="1" spans="1:26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s="58" customFormat="1" ht="15.75" customHeight="1" spans="1:26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s="58" customFormat="1" ht="15.75" customHeight="1" spans="1:26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s="58" customFormat="1" ht="15.75" customHeight="1" spans="1:2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s="58" customFormat="1" ht="15.75" customHeight="1" spans="1:26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s="58" customFormat="1" ht="15.75" customHeight="1" spans="1:26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s="58" customFormat="1" ht="15.75" customHeight="1" spans="1:26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s="58" customFormat="1" ht="15.75" customHeight="1" spans="1:26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s="58" customFormat="1" ht="15.75" customHeight="1" spans="1:26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s="58" customFormat="1" ht="15.75" customHeight="1" spans="1:26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s="58" customFormat="1" ht="15.75" customHeight="1" spans="1:26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s="58" customFormat="1" ht="15.75" customHeight="1" spans="1:26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s="58" customFormat="1" ht="15.75" customHeight="1" spans="1:26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s="58" customFormat="1" ht="15.75" customHeight="1" spans="1:2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s="58" customFormat="1" ht="15.75" customHeight="1" spans="1:26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s="58" customFormat="1" ht="15.75" customHeight="1" spans="1:26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s="58" customFormat="1" ht="15.75" customHeight="1" spans="1:26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s="58" customFormat="1" ht="15.75" customHeight="1" spans="1:26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s="58" customFormat="1" ht="15.75" customHeight="1" spans="1:26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s="58" customFormat="1" ht="15.75" customHeight="1" spans="1:26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s="58" customFormat="1" ht="15.75" customHeight="1" spans="1:26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s="58" customFormat="1" ht="15.75" customHeight="1" spans="1:26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s="58" customFormat="1" ht="15.75" customHeight="1" spans="1:26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s="58" customFormat="1" ht="15.75" customHeight="1" spans="1:2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s="58" customFormat="1" ht="15.75" customHeight="1" spans="1:26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s="58" customFormat="1" ht="15.75" customHeight="1" spans="1:26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s="58" customFormat="1" ht="15.75" customHeight="1" spans="1:26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s="58" customFormat="1" ht="15.75" customHeight="1" spans="1:26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s="58" customFormat="1" ht="15.75" customHeight="1" spans="1:26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s="58" customFormat="1" ht="15.75" customHeight="1" spans="1:26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s="58" customFormat="1" ht="15.75" customHeight="1" spans="1:26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s="58" customFormat="1" ht="15.75" customHeight="1" spans="1:26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s="58" customFormat="1" ht="15.75" customHeight="1" spans="1:26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s="58" customFormat="1" ht="15.75" customHeight="1" spans="1:2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s="58" customFormat="1" ht="15.75" customHeight="1" spans="1:26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s="58" customFormat="1" ht="15.75" customHeight="1" spans="1:26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s="58" customFormat="1" ht="15.75" customHeight="1" spans="1:26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s="58" customFormat="1" ht="15.75" customHeight="1" spans="1:26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s="58" customFormat="1" ht="15.75" customHeight="1" spans="1:26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s="58" customFormat="1" ht="15.75" customHeight="1" spans="1:26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s="58" customFormat="1" ht="15.75" customHeight="1" spans="1:26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s="58" customFormat="1" ht="15.75" customHeight="1" spans="1:26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s="58" customFormat="1" ht="15.75" customHeight="1" spans="1:26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s="58" customFormat="1" ht="15.75" customHeight="1" spans="1:2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s="58" customFormat="1" ht="15.75" customHeight="1" spans="1:26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s="58" customFormat="1" ht="15.75" customHeight="1" spans="1:26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s="58" customFormat="1" ht="15.75" customHeight="1" spans="1:26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s="58" customFormat="1" ht="15.75" customHeight="1" spans="1:26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s="58" customFormat="1" ht="15.75" customHeight="1" spans="1:26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s="58" customFormat="1" ht="15.75" customHeight="1" spans="1:26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s="58" customFormat="1" ht="15.75" customHeight="1" spans="1:26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s="58" customFormat="1" ht="15.75" customHeight="1" spans="1:26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s="58" customFormat="1" ht="15.75" customHeight="1" spans="1:26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s="58" customFormat="1" ht="15.75" customHeight="1" spans="1:2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s="58" customFormat="1" ht="15.75" customHeight="1" spans="1:26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s="58" customFormat="1" ht="15.75" customHeight="1" spans="1:26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s="58" customFormat="1" ht="15.75" customHeight="1" spans="1:26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s="58" customFormat="1" ht="15.75" customHeight="1" spans="1:26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s="58" customFormat="1" ht="15.75" customHeight="1" spans="1:26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s="58" customFormat="1" ht="15.75" customHeight="1" spans="1:26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s="58" customFormat="1" ht="15.75" customHeight="1" spans="1:26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s="58" customFormat="1" ht="15.75" customHeight="1" spans="1:26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s="58" customFormat="1" ht="15.75" customHeight="1" spans="1:26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s="58" customFormat="1" ht="15.75" customHeight="1" spans="1:2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s="58" customFormat="1" ht="15.75" customHeight="1" spans="1:26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s="58" customFormat="1" ht="15.75" customHeight="1" spans="1:26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s="58" customFormat="1" ht="15.75" customHeight="1" spans="1:26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s="58" customFormat="1" ht="15.75" customHeight="1" spans="1:26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s="58" customFormat="1" ht="15.75" customHeight="1" spans="1:26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s="58" customFormat="1" ht="15.75" customHeight="1" spans="1:26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s="58" customFormat="1" ht="15.75" customHeight="1" spans="1:26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s="58" customFormat="1" ht="15.75" customHeight="1" spans="1:26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s="58" customFormat="1" ht="15.75" customHeight="1" spans="1:26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s="58" customFormat="1" ht="15.75" customHeight="1" spans="1: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s="58" customFormat="1" ht="15.75" customHeight="1" spans="1:26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s="58" customFormat="1" ht="15.75" customHeight="1" spans="1:26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s="58" customFormat="1" ht="15.75" customHeight="1" spans="1:26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s="58" customFormat="1" ht="15.75" customHeight="1" spans="1:26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s="58" customFormat="1" ht="15.75" customHeight="1" spans="1:26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s="58" customFormat="1" ht="15.75" customHeight="1" spans="1:26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s="58" customFormat="1" ht="15.75" customHeight="1" spans="1:26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s="58" customFormat="1" ht="15.75" customHeight="1" spans="1:26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s="58" customFormat="1" ht="15.75" customHeight="1" spans="1:26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s="58" customFormat="1" ht="15.75" customHeight="1" spans="1:2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s="58" customFormat="1" ht="15.75" customHeight="1" spans="1:26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s="58" customFormat="1" ht="15.75" customHeight="1" spans="1:26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s="58" customFormat="1" ht="15.75" customHeight="1" spans="1:26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s="58" customFormat="1" ht="15.75" customHeight="1" spans="1:26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s="58" customFormat="1" ht="15.75" customHeight="1" spans="1:26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s="58" customFormat="1" ht="15.75" customHeight="1" spans="1:26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s="58" customFormat="1" ht="15.75" customHeight="1" spans="1:26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s="58" customFormat="1" ht="15.75" customHeight="1" spans="1:26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s="58" customFormat="1" ht="15.75" customHeight="1" spans="1:26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s="58" customFormat="1" ht="15.75" customHeight="1" spans="1:2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s="58" customFormat="1" ht="15.75" customHeight="1" spans="1:26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s="58" customFormat="1" ht="15.75" customHeight="1" spans="1:26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s="58" customFormat="1" ht="15.75" customHeight="1" spans="1:26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s="58" customFormat="1" ht="15.75" customHeight="1" spans="1:26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s="58" customFormat="1" ht="15.75" customHeight="1" spans="1:26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s="58" customFormat="1" ht="15.75" customHeight="1" spans="1:26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s="58" customFormat="1" ht="15.75" customHeight="1" spans="1:26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s="58" customFormat="1" ht="15.75" customHeight="1" spans="1:26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s="58" customFormat="1" ht="15.75" customHeight="1" spans="1:26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s="58" customFormat="1" ht="15.75" customHeight="1" spans="1:2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s="58" customFormat="1" ht="15.75" customHeight="1" spans="1:26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s="58" customFormat="1" ht="15.75" customHeight="1" spans="1:26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s="58" customFormat="1" ht="15.75" customHeight="1" spans="1:26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s="58" customFormat="1" ht="15.75" customHeight="1" spans="1:26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s="58" customFormat="1" ht="15.75" customHeight="1" spans="1:26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s="58" customFormat="1" ht="15.75" customHeight="1" spans="1:26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s="58" customFormat="1" ht="15.75" customHeight="1" spans="1:26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s="58" customFormat="1" ht="15.75" customHeight="1" spans="1:26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s="58" customFormat="1" ht="15.75" customHeight="1" spans="1:26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s="58" customFormat="1" ht="15.75" customHeight="1" spans="1:2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s="58" customFormat="1" ht="15.75" customHeight="1" spans="1:26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s="58" customFormat="1" ht="15.75" customHeight="1" spans="1:26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s="58" customFormat="1" ht="15.75" customHeight="1" spans="1:26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s="58" customFormat="1" ht="15.75" customHeight="1" spans="1:26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s="58" customFormat="1" ht="15.75" customHeight="1" spans="1:26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s="58" customFormat="1" ht="15.75" customHeight="1" spans="1:26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s="58" customFormat="1" ht="15.75" customHeight="1" spans="1:26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s="58" customFormat="1" ht="15.75" customHeight="1" spans="1:26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s="58" customFormat="1" ht="15.75" customHeight="1" spans="1:26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s="58" customFormat="1" ht="15.75" customHeight="1" spans="1:2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s="58" customFormat="1" ht="15.75" customHeight="1" spans="1:26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s="58" customFormat="1" ht="15.75" customHeight="1" spans="1:26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s="58" customFormat="1" ht="15.75" customHeight="1" spans="1:26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s="58" customFormat="1" ht="15.75" customHeight="1" spans="1:26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s="58" customFormat="1" ht="15.75" customHeight="1" spans="1:26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s="58" customFormat="1" ht="15.75" customHeight="1" spans="1:26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s="58" customFormat="1" ht="15.75" customHeight="1" spans="1:26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s="58" customFormat="1" ht="15.75" customHeight="1" spans="1:26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s="58" customFormat="1" ht="15.75" customHeight="1" spans="1:26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s="58" customFormat="1" ht="15.75" customHeight="1" spans="1:2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s="58" customFormat="1" ht="15.75" customHeight="1" spans="1:26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s="58" customFormat="1" ht="15.75" customHeight="1" spans="1:26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s="58" customFormat="1" ht="15.75" customHeight="1" spans="1:26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s="58" customFormat="1" ht="15.75" customHeight="1" spans="1:26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s="58" customFormat="1" ht="15.75" customHeight="1" spans="1:26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s="58" customFormat="1" ht="15.75" customHeight="1" spans="1:26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s="58" customFormat="1" ht="15.75" customHeight="1" spans="1:26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s="58" customFormat="1" ht="15.75" customHeight="1" spans="1:26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s="58" customFormat="1" ht="15.75" customHeight="1" spans="1:26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s="58" customFormat="1" ht="15.75" customHeight="1" spans="1:2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s="58" customFormat="1" ht="15.75" customHeight="1" spans="1:26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s="58" customFormat="1" ht="15.75" customHeight="1" spans="1:26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s="58" customFormat="1" ht="15.75" customHeight="1" spans="1:26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s="58" customFormat="1" ht="15.75" customHeight="1" spans="1:26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s="58" customFormat="1" ht="15.75" customHeight="1" spans="1:26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s="58" customFormat="1" ht="15.75" customHeight="1" spans="1:26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s="58" customFormat="1" ht="15.75" customHeight="1" spans="1:26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s="58" customFormat="1" ht="15.75" customHeight="1" spans="1:26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s="58" customFormat="1" ht="15.75" customHeight="1" spans="1:26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s="58" customFormat="1" ht="15.75" customHeight="1" spans="1:2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s="58" customFormat="1" ht="15.75" customHeight="1" spans="1:26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s="58" customFormat="1" ht="15.75" customHeight="1" spans="1:26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s="58" customFormat="1" ht="15.75" customHeight="1" spans="1:26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s="58" customFormat="1" ht="15.75" customHeight="1" spans="1:26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s="58" customFormat="1" ht="15.75" customHeight="1" spans="1:26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s="58" customFormat="1" ht="15.75" customHeight="1" spans="1:26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s="58" customFormat="1" ht="15.75" customHeight="1" spans="1:26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s="58" customFormat="1" ht="15.75" customHeight="1" spans="1:26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s="58" customFormat="1" ht="15.75" customHeight="1" spans="1:26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s="58" customFormat="1" ht="15.75" customHeight="1" spans="1:2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s="58" customFormat="1" ht="15.75" customHeight="1" spans="1:26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s="58" customFormat="1" ht="15.75" customHeight="1" spans="1:26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s="58" customFormat="1" ht="15.75" customHeight="1" spans="1:26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s="58" customFormat="1" ht="15.75" customHeight="1" spans="1:26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s="58" customFormat="1" ht="15.75" customHeight="1" spans="1:26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s="58" customFormat="1" ht="15.75" customHeight="1" spans="1:26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s="58" customFormat="1" ht="15.75" customHeight="1" spans="1:26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s="58" customFormat="1" ht="15.75" customHeight="1" spans="1:26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s="58" customFormat="1" ht="15.75" customHeight="1" spans="1:26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s="58" customFormat="1" ht="15.75" customHeight="1" spans="1: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s="58" customFormat="1" ht="15.75" customHeight="1" spans="1:26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s="58" customFormat="1" ht="15.75" customHeight="1" spans="1:26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s="58" customFormat="1" ht="15.75" customHeight="1" spans="1:26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s="58" customFormat="1" ht="15.75" customHeight="1" spans="1:26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s="58" customFormat="1" ht="15.75" customHeight="1" spans="1:26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s="58" customFormat="1" ht="15.75" customHeight="1" spans="1:26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s="58" customFormat="1" ht="15.75" customHeight="1" spans="1:26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s="58" customFormat="1" ht="15.75" customHeight="1" spans="1:26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s="58" customFormat="1" ht="15.75" customHeight="1" spans="1:26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s="58" customFormat="1" ht="15.75" customHeight="1" spans="1:2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s="58" customFormat="1" ht="15.75" customHeight="1" spans="1:26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s="58" customFormat="1" ht="15.75" customHeight="1" spans="1:26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s="58" customFormat="1" ht="15.75" customHeight="1" spans="1:26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s="58" customFormat="1" ht="15.75" customHeight="1" spans="1:26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s="58" customFormat="1" ht="15.75" customHeight="1" spans="1:26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s="58" customFormat="1" ht="15.75" customHeight="1" spans="1:26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s="58" customFormat="1" ht="15.75" customHeight="1" spans="1:26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s="58" customFormat="1" ht="15.75" customHeight="1" spans="1:26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s="58" customFormat="1" ht="15.75" customHeight="1" spans="1:26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s="58" customFormat="1" ht="15.75" customHeight="1" spans="1:2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s="58" customFormat="1" ht="15.75" customHeight="1" spans="1:26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s="58" customFormat="1" ht="15.75" customHeight="1" spans="1:26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s="58" customFormat="1" ht="15.75" customHeight="1" spans="1:26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s="58" customFormat="1" ht="15.75" customHeight="1" spans="1:26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s="58" customFormat="1" ht="15.75" customHeight="1" spans="1:26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s="58" customFormat="1" ht="15.75" customHeight="1" spans="1:26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s="58" customFormat="1" ht="15.75" customHeight="1" spans="1:26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s="58" customFormat="1" ht="15.75" customHeight="1" spans="1:26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s="58" customFormat="1" ht="15.75" customHeight="1" spans="1:26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s="58" customFormat="1" ht="15.75" customHeight="1" spans="1:2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s="58" customFormat="1" ht="15.75" customHeight="1" spans="1:26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s="58" customFormat="1" ht="15.75" customHeight="1" spans="1:26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s="58" customFormat="1" ht="15.75" customHeight="1" spans="1:26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s="58" customFormat="1" ht="15.75" customHeight="1" spans="1:26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s="58" customFormat="1" ht="15.75" customHeight="1" spans="1:26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s="58" customFormat="1" ht="15.75" customHeight="1" spans="1:26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s="58" customFormat="1" ht="15.75" customHeight="1" spans="1:26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s="58" customFormat="1" ht="15.75" customHeight="1" spans="1:26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s="58" customFormat="1" ht="15.75" customHeight="1" spans="1:26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s="58" customFormat="1" ht="15.75" customHeight="1" spans="1:2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s="58" customFormat="1" ht="15.75" customHeight="1" spans="1:26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s="58" customFormat="1" ht="15.75" customHeight="1" spans="1:26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s="58" customFormat="1" ht="15.75" customHeight="1" spans="1:26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s="58" customFormat="1" ht="15.75" customHeight="1" spans="1:26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s="58" customFormat="1" ht="15.75" customHeight="1" spans="1:26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s="58" customFormat="1" ht="15.75" customHeight="1" spans="1:26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s="58" customFormat="1" ht="15.75" customHeight="1" spans="1:26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s="58" customFormat="1" ht="15.75" customHeight="1" spans="1:26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s="58" customFormat="1" ht="15.75" customHeight="1" spans="1:26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s="58" customFormat="1" ht="15.75" customHeight="1" spans="1:2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s="58" customFormat="1" ht="15.75" customHeight="1" spans="1:26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s="58" customFormat="1" ht="15.75" customHeight="1" spans="1:26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s="58" customFormat="1" ht="15.75" customHeight="1" spans="1:26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s="58" customFormat="1" ht="15.75" customHeight="1" spans="1:26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s="58" customFormat="1" ht="15.75" customHeight="1" spans="1:26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s="58" customFormat="1" ht="15.75" customHeight="1" spans="1:26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s="58" customFormat="1" ht="15.75" customHeight="1" spans="1:26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s="58" customFormat="1" ht="15.75" customHeight="1" spans="1:26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s="58" customFormat="1" ht="15.75" customHeight="1" spans="1:26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s="58" customFormat="1" ht="15.75" customHeight="1" spans="1:2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s="58" customFormat="1" ht="15.75" customHeight="1" spans="1:26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s="58" customFormat="1" ht="15.75" customHeight="1" spans="1:26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s="58" customFormat="1" ht="15.75" customHeight="1" spans="1:26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s="58" customFormat="1" ht="15.75" customHeight="1" spans="1:26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s="58" customFormat="1" ht="15.75" customHeight="1" spans="1:26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s="58" customFormat="1" ht="15.75" customHeight="1" spans="1:26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s="58" customFormat="1" ht="15.75" customHeight="1" spans="1:26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s="58" customFormat="1" ht="15.75" customHeight="1" spans="1:26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s="58" customFormat="1" ht="15.75" customHeight="1" spans="1:26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s="58" customFormat="1" ht="15.75" customHeight="1" spans="1:2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s="58" customFormat="1" ht="15.75" customHeight="1" spans="1:26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s="58" customFormat="1" ht="15.75" customHeight="1" spans="1:26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s="58" customFormat="1" ht="15.75" customHeight="1" spans="1:26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s="58" customFormat="1" ht="15.75" customHeight="1" spans="1:26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s="58" customFormat="1" ht="15.75" customHeight="1" spans="1:26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s="58" customFormat="1" ht="15.75" customHeight="1" spans="1:26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s="58" customFormat="1" ht="15.75" customHeight="1" spans="1:26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s="58" customFormat="1" ht="15.75" customHeight="1" spans="1:26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s="58" customFormat="1" ht="15.75" customHeight="1" spans="1:26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s="58" customFormat="1" ht="15.75" customHeight="1" spans="1:2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s="58" customFormat="1" ht="15.75" customHeight="1" spans="1:26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s="58" customFormat="1" ht="15.75" customHeight="1" spans="1:26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s="58" customFormat="1" ht="15.75" customHeight="1" spans="1:26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s="58" customFormat="1" ht="15.75" customHeight="1" spans="1:26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s="58" customFormat="1" ht="15.75" customHeight="1" spans="1:26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s="58" customFormat="1" ht="15.75" customHeight="1" spans="1:26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s="58" customFormat="1" ht="15.75" customHeight="1" spans="1:26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s="58" customFormat="1" ht="15.75" customHeight="1" spans="1:26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s="58" customFormat="1" ht="15.75" customHeight="1" spans="1:26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s="58" customFormat="1" ht="15.75" customHeight="1" spans="1:2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s="58" customFormat="1" ht="15.75" customHeight="1" spans="1:26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s="58" customFormat="1" ht="15.75" customHeight="1" spans="1:26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s="58" customFormat="1" ht="15.75" customHeight="1" spans="1:26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s="58" customFormat="1" ht="15.75" customHeight="1" spans="1:26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s="58" customFormat="1" ht="15.75" customHeight="1" spans="1:26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s="58" customFormat="1" ht="15.75" customHeight="1" spans="1:26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s="58" customFormat="1" ht="15.75" customHeight="1" spans="1:26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s="58" customFormat="1" ht="15.75" customHeight="1" spans="1:26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s="58" customFormat="1" ht="15.75" customHeight="1" spans="1:26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s="58" customFormat="1" ht="15.75" customHeight="1" spans="1: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s="58" customFormat="1" ht="15.75" customHeight="1" spans="1:26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s="58" customFormat="1" ht="15.75" customHeight="1" spans="1:26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s="58" customFormat="1" ht="15.75" customHeight="1" spans="1:26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s="58" customFormat="1" ht="15.75" customHeight="1" spans="1:26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s="58" customFormat="1" ht="15.75" customHeight="1" spans="1:26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s="58" customFormat="1" ht="15.75" customHeight="1" spans="1:26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s="58" customFormat="1" ht="15.75" customHeight="1" spans="1:26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s="58" customFormat="1" ht="15.75" customHeight="1" spans="1:26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s="58" customFormat="1" ht="15.75" customHeight="1" spans="1:26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s="58" customFormat="1" ht="15.75" customHeight="1" spans="1:2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s="58" customFormat="1" ht="15.75" customHeight="1" spans="1:26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s="58" customFormat="1" ht="15.75" customHeight="1" spans="1:26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s="58" customFormat="1" ht="15.75" customHeight="1" spans="1:26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s="58" customFormat="1" ht="15.75" customHeight="1" spans="1:26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s="58" customFormat="1" ht="15.75" customHeight="1" spans="1:26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s="58" customFormat="1" ht="15.75" customHeight="1" spans="1:26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s="58" customFormat="1" ht="15.75" customHeight="1" spans="1:26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s="58" customFormat="1" ht="15.75" customHeight="1" spans="1:26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s="58" customFormat="1" ht="15.75" customHeight="1" spans="1:26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s="58" customFormat="1" ht="15.75" customHeight="1" spans="1:2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s="58" customFormat="1" ht="15.75" customHeight="1" spans="1:26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s="58" customFormat="1" ht="15.75" customHeight="1" spans="1:26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s="58" customFormat="1" ht="15.75" customHeight="1" spans="1:26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s="58" customFormat="1" ht="15.75" customHeight="1" spans="1:26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s="58" customFormat="1" ht="15.75" customHeight="1" spans="1:26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s="58" customFormat="1" ht="15.75" customHeight="1" spans="1:26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s="58" customFormat="1" ht="15.75" customHeight="1" spans="1:26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s="58" customFormat="1" ht="15.75" customHeight="1" spans="1:26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s="58" customFormat="1" ht="15.75" customHeight="1" spans="1:26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s="58" customFormat="1" ht="15.75" customHeight="1" spans="1:2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s="58" customFormat="1" ht="15.75" customHeight="1" spans="1:26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s="58" customFormat="1" ht="15.75" customHeight="1" spans="1:26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s="58" customFormat="1" ht="15.75" customHeight="1" spans="1:26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s="58" customFormat="1" ht="15.75" customHeight="1" spans="1:26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s="58" customFormat="1" ht="15.75" customHeight="1" spans="1:26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s="58" customFormat="1" ht="15.75" customHeight="1" spans="1:26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s="58" customFormat="1" ht="15.75" customHeight="1" spans="1:26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s="58" customFormat="1" ht="15.75" customHeight="1" spans="1:26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s="58" customFormat="1" ht="15.75" customHeight="1" spans="1:26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s="58" customFormat="1" ht="15.75" customHeight="1" spans="1:2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s="58" customFormat="1" ht="15.75" customHeight="1" spans="1:26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s="58" customFormat="1" ht="15.75" customHeight="1" spans="1:26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s="58" customFormat="1" ht="15.75" customHeight="1" spans="1:26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s="58" customFormat="1" ht="15.75" customHeight="1" spans="1:26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s="58" customFormat="1" ht="15.75" customHeight="1" spans="1:26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s="58" customFormat="1" ht="15.75" customHeight="1" spans="1:26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s="58" customFormat="1" ht="15.75" customHeight="1" spans="1:26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s="58" customFormat="1" ht="15.75" customHeight="1" spans="1:26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s="58" customFormat="1" ht="15.75" customHeight="1" spans="1:26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s="58" customFormat="1" ht="15.75" customHeight="1" spans="1:2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s="58" customFormat="1" ht="15.75" customHeight="1" spans="1:26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s="58" customFormat="1" ht="15.75" customHeight="1" spans="1:26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s="58" customFormat="1" ht="15.75" customHeight="1" spans="1:26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s="58" customFormat="1" ht="15.75" customHeight="1" spans="1:26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s="58" customFormat="1" ht="15.75" customHeight="1" spans="1:26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s="58" customFormat="1" ht="15.75" customHeight="1" spans="1:26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s="58" customFormat="1" ht="15.75" customHeight="1" spans="1:26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s="58" customFormat="1" ht="15.75" customHeight="1" spans="1:26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s="58" customFormat="1" ht="15.75" customHeight="1" spans="1:26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s="58" customFormat="1" ht="15.75" customHeight="1" spans="1:2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s="58" customFormat="1" ht="15.75" customHeight="1" spans="1:26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s="58" customFormat="1" ht="15.75" customHeight="1" spans="1:26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s="58" customFormat="1" ht="15.75" customHeight="1" spans="1:26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s="58" customFormat="1" ht="15.75" customHeight="1" spans="1:26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s="58" customFormat="1" ht="15.75" customHeight="1" spans="1:26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s="58" customFormat="1" ht="15.75" customHeight="1" spans="1:26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s="58" customFormat="1" ht="15.75" customHeight="1" spans="1:26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s="58" customFormat="1" ht="15.75" customHeight="1" spans="1:26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s="58" customFormat="1" ht="15.75" customHeight="1" spans="1:26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s="58" customFormat="1" ht="15.75" customHeight="1" spans="1:2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s="58" customFormat="1" ht="15.75" customHeight="1" spans="1:26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s="58" customFormat="1" ht="15.75" customHeight="1" spans="1:26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s="58" customFormat="1" ht="15.75" customHeight="1" spans="1:26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s="58" customFormat="1" ht="15.75" customHeight="1" spans="1:26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s="58" customFormat="1" ht="15.75" customHeight="1" spans="1:26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s="58" customFormat="1" ht="15.75" customHeight="1" spans="1:26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s="58" customFormat="1" ht="15.75" customHeight="1" spans="1:26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s="58" customFormat="1" ht="15.75" customHeight="1" spans="1:26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s="58" customFormat="1" ht="15.75" customHeight="1" spans="1:26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s="58" customFormat="1" ht="15.75" customHeight="1" spans="1:2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s="58" customFormat="1" ht="15.75" customHeight="1" spans="1:26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s="58" customFormat="1" ht="15.75" customHeight="1" spans="1:26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s="58" customFormat="1" ht="15.75" customHeight="1" spans="1:26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s="58" customFormat="1" ht="15.75" customHeight="1" spans="1:26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s="58" customFormat="1" ht="15.75" customHeight="1" spans="1:26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s="58" customFormat="1" ht="15.75" customHeight="1" spans="1:26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s="58" customFormat="1" ht="15.75" customHeight="1" spans="1:26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s="58" customFormat="1" ht="15.75" customHeight="1" spans="1:26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s="58" customFormat="1" ht="15.75" customHeight="1" spans="1:26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s="58" customFormat="1" ht="15.75" customHeight="1" spans="1:2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s="58" customFormat="1" ht="15.75" customHeight="1" spans="1:26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s="58" customFormat="1" ht="15.75" customHeight="1" spans="1:26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s="58" customFormat="1" ht="15.75" customHeight="1" spans="1:26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s="58" customFormat="1" ht="15.75" customHeight="1" spans="1:26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s="58" customFormat="1" ht="15.75" customHeight="1" spans="1:26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s="58" customFormat="1" ht="15.75" customHeight="1" spans="1:26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s="58" customFormat="1" ht="15.75" customHeight="1" spans="1:26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s="58" customFormat="1" ht="15.75" customHeight="1" spans="1:26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s="58" customFormat="1" ht="15.75" customHeight="1" spans="1:26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s="58" customFormat="1" ht="15.75" customHeight="1" spans="1: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s="58" customFormat="1" ht="15.75" customHeight="1" spans="1:26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s="58" customFormat="1" ht="15.75" customHeight="1" spans="1:26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s="58" customFormat="1" ht="15.75" customHeight="1" spans="1:26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s="58" customFormat="1" ht="15.75" customHeight="1" spans="1:26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s="58" customFormat="1" ht="15.75" customHeight="1" spans="1:26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s="58" customFormat="1" ht="15.75" customHeight="1" spans="1:26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s="58" customFormat="1" ht="15.75" customHeight="1" spans="1:26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s="58" customFormat="1" ht="15.75" customHeight="1" spans="1:26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s="58" customFormat="1" ht="15.75" customHeight="1" spans="1:26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s="58" customFormat="1" ht="15.75" customHeight="1" spans="1:2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s="58" customFormat="1" ht="15.75" customHeight="1" spans="1:26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s="58" customFormat="1" ht="15.75" customHeight="1" spans="1:26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s="58" customFormat="1" ht="15.75" customHeight="1" spans="1:26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s="58" customFormat="1" ht="15.75" customHeight="1" spans="1:26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s="58" customFormat="1" ht="15.75" customHeight="1" spans="1:26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s="58" customFormat="1" ht="15.75" customHeight="1" spans="1:26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s="58" customFormat="1" ht="15.75" customHeight="1" spans="1:26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s="58" customFormat="1" ht="15.75" customHeight="1" spans="1:26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s="58" customFormat="1" ht="15.75" customHeight="1" spans="1:26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s="58" customFormat="1" ht="15.75" customHeight="1" spans="1:2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s="58" customFormat="1" ht="15.75" customHeight="1" spans="1:26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s="58" customFormat="1" ht="15.75" customHeight="1" spans="1:26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s="58" customFormat="1" ht="15.75" customHeight="1" spans="1:26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s="58" customFormat="1" ht="15.75" customHeight="1" spans="1:26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s="58" customFormat="1" ht="15.75" customHeight="1" spans="1:26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s="58" customFormat="1" ht="15.75" customHeight="1" spans="1:26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s="58" customFormat="1" ht="15.75" customHeight="1" spans="1:26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s="58" customFormat="1" ht="15.75" customHeight="1" spans="1:26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s="58" customFormat="1" ht="15.75" customHeight="1" spans="1:26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s="58" customFormat="1" ht="15.75" customHeight="1" spans="1:2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s="58" customFormat="1" ht="15.75" customHeight="1" spans="1:26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s="58" customFormat="1" ht="15.75" customHeight="1" spans="1:26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s="58" customFormat="1" ht="15.75" customHeight="1" spans="1:26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s="58" customFormat="1" ht="15.75" customHeight="1" spans="1:26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s="58" customFormat="1" ht="15.75" customHeight="1" spans="1:26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s="58" customFormat="1" ht="15.75" customHeight="1" spans="1:26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s="58" customFormat="1" ht="15.75" customHeight="1" spans="1:26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s="58" customFormat="1" ht="15.75" customHeight="1" spans="1:26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s="58" customFormat="1" ht="15.75" customHeight="1" spans="1:26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s="58" customFormat="1" ht="15.75" customHeight="1" spans="1:2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s="58" customFormat="1" ht="15.75" customHeight="1" spans="1:26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s="58" customFormat="1" ht="15.75" customHeight="1" spans="1:26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s="58" customFormat="1" ht="15.75" customHeight="1" spans="1:26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s="58" customFormat="1" ht="15.75" customHeight="1" spans="1:26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s="58" customFormat="1" ht="15.75" customHeight="1" spans="1:26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s="58" customFormat="1" ht="15.75" customHeight="1" spans="1:26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s="58" customFormat="1" ht="15.75" customHeight="1" spans="1:26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s="58" customFormat="1" ht="15.75" customHeight="1" spans="1:26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s="58" customFormat="1" ht="15.75" customHeight="1" spans="1:26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s="58" customFormat="1" ht="15.75" customHeight="1" spans="1:2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s="58" customFormat="1" ht="15.75" customHeight="1" spans="1:26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s="58" customFormat="1" ht="15.75" customHeight="1" spans="1:26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s="58" customFormat="1" ht="15.75" customHeight="1" spans="1:26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s="58" customFormat="1" ht="15.75" customHeight="1" spans="1:26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s="58" customFormat="1" ht="15.75" customHeight="1" spans="1:26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s="58" customFormat="1" ht="15.75" customHeight="1" spans="1:26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s="58" customFormat="1" ht="15.75" customHeight="1" spans="1:26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s="58" customFormat="1" ht="15.75" customHeight="1" spans="1:26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s="58" customFormat="1" ht="15.75" customHeight="1" spans="1:26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s="58" customFormat="1" ht="15.75" customHeight="1" spans="1:26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s="58" customFormat="1" ht="15.75" customHeight="1" spans="1:26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s="58" customFormat="1" ht="15.75" customHeight="1" spans="1:26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s="58" customFormat="1" ht="15.75" customHeight="1" spans="1:26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s="58" customFormat="1" ht="15.75" customHeight="1" spans="1:26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s="58" customFormat="1" ht="15.75" customHeight="1" spans="1:26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s="58" customFormat="1" ht="15.75" customHeight="1" spans="1:26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s="58" customFormat="1" ht="15.75" customHeight="1" spans="1:26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s="58" customFormat="1" ht="15.75" customHeight="1" spans="1:26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s="58" customFormat="1" ht="15.75" customHeight="1" spans="1:26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s="58" customFormat="1" ht="15.75" customHeight="1" spans="1:26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s="58" customFormat="1" ht="15.75" customHeight="1" spans="1:26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s="58" customFormat="1" ht="15.75" customHeight="1" spans="1:26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s="58" customFormat="1" ht="15.75" customHeight="1" spans="1:26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s="58" customFormat="1" ht="15.75" customHeight="1" spans="1:26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26"/>
  <sheetViews>
    <sheetView tabSelected="1" zoomScale="57" zoomScaleNormal="57" workbookViewId="0">
      <selection activeCell="I36" sqref="I36"/>
    </sheetView>
  </sheetViews>
  <sheetFormatPr defaultColWidth="9" defaultRowHeight="17"/>
  <cols>
    <col min="1" max="1" width="8.72727272727273" style="25"/>
    <col min="2" max="2" width="4.18181818181818" style="25" customWidth="1"/>
    <col min="3" max="3" width="24.2727272727273" style="25" customWidth="1"/>
    <col min="4" max="4" width="10.7272727272727" style="25" customWidth="1"/>
    <col min="5" max="5" width="17.5454545454545" style="25" customWidth="1"/>
    <col min="6" max="6" width="12.7272727272727" style="25" customWidth="1"/>
    <col min="7" max="7" width="14.4545454545455" style="25" customWidth="1"/>
    <col min="8" max="8" width="13.5454545454545" style="25" customWidth="1"/>
    <col min="9" max="9" width="14" style="25" customWidth="1"/>
    <col min="10" max="10" width="11.5454545454545" style="25" customWidth="1"/>
    <col min="11" max="11" width="15.4545454545455" style="25" customWidth="1"/>
    <col min="12" max="12" width="8.72727272727273" style="25"/>
    <col min="13" max="13" width="11" style="25" customWidth="1"/>
    <col min="14" max="14" width="13.2727272727273" style="25" customWidth="1"/>
    <col min="15" max="258" width="8.72727272727273" style="25"/>
    <col min="259" max="259" width="4.18181818181818" style="25" customWidth="1"/>
    <col min="260" max="260" width="14.4545454545455" style="25" customWidth="1"/>
    <col min="261" max="261" width="6.81818181818182" style="25" customWidth="1"/>
    <col min="262" max="262" width="14.8181818181818" style="25" customWidth="1"/>
    <col min="263" max="264" width="6.81818181818182" style="25" customWidth="1"/>
    <col min="265" max="265" width="13.5454545454545" style="25" customWidth="1"/>
    <col min="266" max="266" width="10" style="25" customWidth="1"/>
    <col min="267" max="268" width="8.72727272727273" style="25"/>
    <col min="269" max="269" width="11" style="25" customWidth="1"/>
    <col min="270" max="270" width="13.2727272727273" style="25" customWidth="1"/>
    <col min="271" max="514" width="8.72727272727273" style="25"/>
    <col min="515" max="515" width="4.18181818181818" style="25" customWidth="1"/>
    <col min="516" max="516" width="14.4545454545455" style="25" customWidth="1"/>
    <col min="517" max="517" width="6.81818181818182" style="25" customWidth="1"/>
    <col min="518" max="518" width="14.8181818181818" style="25" customWidth="1"/>
    <col min="519" max="520" width="6.81818181818182" style="25" customWidth="1"/>
    <col min="521" max="521" width="13.5454545454545" style="25" customWidth="1"/>
    <col min="522" max="522" width="10" style="25" customWidth="1"/>
    <col min="523" max="524" width="8.72727272727273" style="25"/>
    <col min="525" max="525" width="11" style="25" customWidth="1"/>
    <col min="526" max="526" width="13.2727272727273" style="25" customWidth="1"/>
    <col min="527" max="770" width="8.72727272727273" style="25"/>
    <col min="771" max="771" width="4.18181818181818" style="25" customWidth="1"/>
    <col min="772" max="772" width="14.4545454545455" style="25" customWidth="1"/>
    <col min="773" max="773" width="6.81818181818182" style="25" customWidth="1"/>
    <col min="774" max="774" width="14.8181818181818" style="25" customWidth="1"/>
    <col min="775" max="776" width="6.81818181818182" style="25" customWidth="1"/>
    <col min="777" max="777" width="13.5454545454545" style="25" customWidth="1"/>
    <col min="778" max="778" width="10" style="25" customWidth="1"/>
    <col min="779" max="780" width="8.72727272727273" style="25"/>
    <col min="781" max="781" width="11" style="25" customWidth="1"/>
    <col min="782" max="782" width="13.2727272727273" style="25" customWidth="1"/>
    <col min="783" max="1026" width="8.72727272727273" style="25"/>
    <col min="1027" max="1027" width="4.18181818181818" style="25" customWidth="1"/>
    <col min="1028" max="1028" width="14.4545454545455" style="25" customWidth="1"/>
    <col min="1029" max="1029" width="6.81818181818182" style="25" customWidth="1"/>
    <col min="1030" max="1030" width="14.8181818181818" style="25" customWidth="1"/>
    <col min="1031" max="1032" width="6.81818181818182" style="25" customWidth="1"/>
    <col min="1033" max="1033" width="13.5454545454545" style="25" customWidth="1"/>
    <col min="1034" max="1034" width="10" style="25" customWidth="1"/>
    <col min="1035" max="1036" width="8.72727272727273" style="25"/>
    <col min="1037" max="1037" width="11" style="25" customWidth="1"/>
    <col min="1038" max="1038" width="13.2727272727273" style="25" customWidth="1"/>
    <col min="1039" max="1282" width="8.72727272727273" style="25"/>
    <col min="1283" max="1283" width="4.18181818181818" style="25" customWidth="1"/>
    <col min="1284" max="1284" width="14.4545454545455" style="25" customWidth="1"/>
    <col min="1285" max="1285" width="6.81818181818182" style="25" customWidth="1"/>
    <col min="1286" max="1286" width="14.8181818181818" style="25" customWidth="1"/>
    <col min="1287" max="1288" width="6.81818181818182" style="25" customWidth="1"/>
    <col min="1289" max="1289" width="13.5454545454545" style="25" customWidth="1"/>
    <col min="1290" max="1290" width="10" style="25" customWidth="1"/>
    <col min="1291" max="1292" width="8.72727272727273" style="25"/>
    <col min="1293" max="1293" width="11" style="25" customWidth="1"/>
    <col min="1294" max="1294" width="13.2727272727273" style="25" customWidth="1"/>
    <col min="1295" max="1538" width="8.72727272727273" style="25"/>
    <col min="1539" max="1539" width="4.18181818181818" style="25" customWidth="1"/>
    <col min="1540" max="1540" width="14.4545454545455" style="25" customWidth="1"/>
    <col min="1541" max="1541" width="6.81818181818182" style="25" customWidth="1"/>
    <col min="1542" max="1542" width="14.8181818181818" style="25" customWidth="1"/>
    <col min="1543" max="1544" width="6.81818181818182" style="25" customWidth="1"/>
    <col min="1545" max="1545" width="13.5454545454545" style="25" customWidth="1"/>
    <col min="1546" max="1546" width="10" style="25" customWidth="1"/>
    <col min="1547" max="1548" width="8.72727272727273" style="25"/>
    <col min="1549" max="1549" width="11" style="25" customWidth="1"/>
    <col min="1550" max="1550" width="13.2727272727273" style="25" customWidth="1"/>
    <col min="1551" max="1794" width="8.72727272727273" style="25"/>
    <col min="1795" max="1795" width="4.18181818181818" style="25" customWidth="1"/>
    <col min="1796" max="1796" width="14.4545454545455" style="25" customWidth="1"/>
    <col min="1797" max="1797" width="6.81818181818182" style="25" customWidth="1"/>
    <col min="1798" max="1798" width="14.8181818181818" style="25" customWidth="1"/>
    <col min="1799" max="1800" width="6.81818181818182" style="25" customWidth="1"/>
    <col min="1801" max="1801" width="13.5454545454545" style="25" customWidth="1"/>
    <col min="1802" max="1802" width="10" style="25" customWidth="1"/>
    <col min="1803" max="1804" width="8.72727272727273" style="25"/>
    <col min="1805" max="1805" width="11" style="25" customWidth="1"/>
    <col min="1806" max="1806" width="13.2727272727273" style="25" customWidth="1"/>
    <col min="1807" max="2050" width="8.72727272727273" style="25"/>
    <col min="2051" max="2051" width="4.18181818181818" style="25" customWidth="1"/>
    <col min="2052" max="2052" width="14.4545454545455" style="25" customWidth="1"/>
    <col min="2053" max="2053" width="6.81818181818182" style="25" customWidth="1"/>
    <col min="2054" max="2054" width="14.8181818181818" style="25" customWidth="1"/>
    <col min="2055" max="2056" width="6.81818181818182" style="25" customWidth="1"/>
    <col min="2057" max="2057" width="13.5454545454545" style="25" customWidth="1"/>
    <col min="2058" max="2058" width="10" style="25" customWidth="1"/>
    <col min="2059" max="2060" width="8.72727272727273" style="25"/>
    <col min="2061" max="2061" width="11" style="25" customWidth="1"/>
    <col min="2062" max="2062" width="13.2727272727273" style="25" customWidth="1"/>
    <col min="2063" max="2306" width="8.72727272727273" style="25"/>
    <col min="2307" max="2307" width="4.18181818181818" style="25" customWidth="1"/>
    <col min="2308" max="2308" width="14.4545454545455" style="25" customWidth="1"/>
    <col min="2309" max="2309" width="6.81818181818182" style="25" customWidth="1"/>
    <col min="2310" max="2310" width="14.8181818181818" style="25" customWidth="1"/>
    <col min="2311" max="2312" width="6.81818181818182" style="25" customWidth="1"/>
    <col min="2313" max="2313" width="13.5454545454545" style="25" customWidth="1"/>
    <col min="2314" max="2314" width="10" style="25" customWidth="1"/>
    <col min="2315" max="2316" width="8.72727272727273" style="25"/>
    <col min="2317" max="2317" width="11" style="25" customWidth="1"/>
    <col min="2318" max="2318" width="13.2727272727273" style="25" customWidth="1"/>
    <col min="2319" max="2562" width="8.72727272727273" style="25"/>
    <col min="2563" max="2563" width="4.18181818181818" style="25" customWidth="1"/>
    <col min="2564" max="2564" width="14.4545454545455" style="25" customWidth="1"/>
    <col min="2565" max="2565" width="6.81818181818182" style="25" customWidth="1"/>
    <col min="2566" max="2566" width="14.8181818181818" style="25" customWidth="1"/>
    <col min="2567" max="2568" width="6.81818181818182" style="25" customWidth="1"/>
    <col min="2569" max="2569" width="13.5454545454545" style="25" customWidth="1"/>
    <col min="2570" max="2570" width="10" style="25" customWidth="1"/>
    <col min="2571" max="2572" width="8.72727272727273" style="25"/>
    <col min="2573" max="2573" width="11" style="25" customWidth="1"/>
    <col min="2574" max="2574" width="13.2727272727273" style="25" customWidth="1"/>
    <col min="2575" max="2818" width="8.72727272727273" style="25"/>
    <col min="2819" max="2819" width="4.18181818181818" style="25" customWidth="1"/>
    <col min="2820" max="2820" width="14.4545454545455" style="25" customWidth="1"/>
    <col min="2821" max="2821" width="6.81818181818182" style="25" customWidth="1"/>
    <col min="2822" max="2822" width="14.8181818181818" style="25" customWidth="1"/>
    <col min="2823" max="2824" width="6.81818181818182" style="25" customWidth="1"/>
    <col min="2825" max="2825" width="13.5454545454545" style="25" customWidth="1"/>
    <col min="2826" max="2826" width="10" style="25" customWidth="1"/>
    <col min="2827" max="2828" width="8.72727272727273" style="25"/>
    <col min="2829" max="2829" width="11" style="25" customWidth="1"/>
    <col min="2830" max="2830" width="13.2727272727273" style="25" customWidth="1"/>
    <col min="2831" max="3074" width="8.72727272727273" style="25"/>
    <col min="3075" max="3075" width="4.18181818181818" style="25" customWidth="1"/>
    <col min="3076" max="3076" width="14.4545454545455" style="25" customWidth="1"/>
    <col min="3077" max="3077" width="6.81818181818182" style="25" customWidth="1"/>
    <col min="3078" max="3078" width="14.8181818181818" style="25" customWidth="1"/>
    <col min="3079" max="3080" width="6.81818181818182" style="25" customWidth="1"/>
    <col min="3081" max="3081" width="13.5454545454545" style="25" customWidth="1"/>
    <col min="3082" max="3082" width="10" style="25" customWidth="1"/>
    <col min="3083" max="3084" width="8.72727272727273" style="25"/>
    <col min="3085" max="3085" width="11" style="25" customWidth="1"/>
    <col min="3086" max="3086" width="13.2727272727273" style="25" customWidth="1"/>
    <col min="3087" max="3330" width="8.72727272727273" style="25"/>
    <col min="3331" max="3331" width="4.18181818181818" style="25" customWidth="1"/>
    <col min="3332" max="3332" width="14.4545454545455" style="25" customWidth="1"/>
    <col min="3333" max="3333" width="6.81818181818182" style="25" customWidth="1"/>
    <col min="3334" max="3334" width="14.8181818181818" style="25" customWidth="1"/>
    <col min="3335" max="3336" width="6.81818181818182" style="25" customWidth="1"/>
    <col min="3337" max="3337" width="13.5454545454545" style="25" customWidth="1"/>
    <col min="3338" max="3338" width="10" style="25" customWidth="1"/>
    <col min="3339" max="3340" width="8.72727272727273" style="25"/>
    <col min="3341" max="3341" width="11" style="25" customWidth="1"/>
    <col min="3342" max="3342" width="13.2727272727273" style="25" customWidth="1"/>
    <col min="3343" max="3586" width="8.72727272727273" style="25"/>
    <col min="3587" max="3587" width="4.18181818181818" style="25" customWidth="1"/>
    <col min="3588" max="3588" width="14.4545454545455" style="25" customWidth="1"/>
    <col min="3589" max="3589" width="6.81818181818182" style="25" customWidth="1"/>
    <col min="3590" max="3590" width="14.8181818181818" style="25" customWidth="1"/>
    <col min="3591" max="3592" width="6.81818181818182" style="25" customWidth="1"/>
    <col min="3593" max="3593" width="13.5454545454545" style="25" customWidth="1"/>
    <col min="3594" max="3594" width="10" style="25" customWidth="1"/>
    <col min="3595" max="3596" width="8.72727272727273" style="25"/>
    <col min="3597" max="3597" width="11" style="25" customWidth="1"/>
    <col min="3598" max="3598" width="13.2727272727273" style="25" customWidth="1"/>
    <col min="3599" max="3842" width="8.72727272727273" style="25"/>
    <col min="3843" max="3843" width="4.18181818181818" style="25" customWidth="1"/>
    <col min="3844" max="3844" width="14.4545454545455" style="25" customWidth="1"/>
    <col min="3845" max="3845" width="6.81818181818182" style="25" customWidth="1"/>
    <col min="3846" max="3846" width="14.8181818181818" style="25" customWidth="1"/>
    <col min="3847" max="3848" width="6.81818181818182" style="25" customWidth="1"/>
    <col min="3849" max="3849" width="13.5454545454545" style="25" customWidth="1"/>
    <col min="3850" max="3850" width="10" style="25" customWidth="1"/>
    <col min="3851" max="3852" width="8.72727272727273" style="25"/>
    <col min="3853" max="3853" width="11" style="25" customWidth="1"/>
    <col min="3854" max="3854" width="13.2727272727273" style="25" customWidth="1"/>
    <col min="3855" max="4098" width="8.72727272727273" style="25"/>
    <col min="4099" max="4099" width="4.18181818181818" style="25" customWidth="1"/>
    <col min="4100" max="4100" width="14.4545454545455" style="25" customWidth="1"/>
    <col min="4101" max="4101" width="6.81818181818182" style="25" customWidth="1"/>
    <col min="4102" max="4102" width="14.8181818181818" style="25" customWidth="1"/>
    <col min="4103" max="4104" width="6.81818181818182" style="25" customWidth="1"/>
    <col min="4105" max="4105" width="13.5454545454545" style="25" customWidth="1"/>
    <col min="4106" max="4106" width="10" style="25" customWidth="1"/>
    <col min="4107" max="4108" width="8.72727272727273" style="25"/>
    <col min="4109" max="4109" width="11" style="25" customWidth="1"/>
    <col min="4110" max="4110" width="13.2727272727273" style="25" customWidth="1"/>
    <col min="4111" max="4354" width="8.72727272727273" style="25"/>
    <col min="4355" max="4355" width="4.18181818181818" style="25" customWidth="1"/>
    <col min="4356" max="4356" width="14.4545454545455" style="25" customWidth="1"/>
    <col min="4357" max="4357" width="6.81818181818182" style="25" customWidth="1"/>
    <col min="4358" max="4358" width="14.8181818181818" style="25" customWidth="1"/>
    <col min="4359" max="4360" width="6.81818181818182" style="25" customWidth="1"/>
    <col min="4361" max="4361" width="13.5454545454545" style="25" customWidth="1"/>
    <col min="4362" max="4362" width="10" style="25" customWidth="1"/>
    <col min="4363" max="4364" width="8.72727272727273" style="25"/>
    <col min="4365" max="4365" width="11" style="25" customWidth="1"/>
    <col min="4366" max="4366" width="13.2727272727273" style="25" customWidth="1"/>
    <col min="4367" max="4610" width="8.72727272727273" style="25"/>
    <col min="4611" max="4611" width="4.18181818181818" style="25" customWidth="1"/>
    <col min="4612" max="4612" width="14.4545454545455" style="25" customWidth="1"/>
    <col min="4613" max="4613" width="6.81818181818182" style="25" customWidth="1"/>
    <col min="4614" max="4614" width="14.8181818181818" style="25" customWidth="1"/>
    <col min="4615" max="4616" width="6.81818181818182" style="25" customWidth="1"/>
    <col min="4617" max="4617" width="13.5454545454545" style="25" customWidth="1"/>
    <col min="4618" max="4618" width="10" style="25" customWidth="1"/>
    <col min="4619" max="4620" width="8.72727272727273" style="25"/>
    <col min="4621" max="4621" width="11" style="25" customWidth="1"/>
    <col min="4622" max="4622" width="13.2727272727273" style="25" customWidth="1"/>
    <col min="4623" max="4866" width="8.72727272727273" style="25"/>
    <col min="4867" max="4867" width="4.18181818181818" style="25" customWidth="1"/>
    <col min="4868" max="4868" width="14.4545454545455" style="25" customWidth="1"/>
    <col min="4869" max="4869" width="6.81818181818182" style="25" customWidth="1"/>
    <col min="4870" max="4870" width="14.8181818181818" style="25" customWidth="1"/>
    <col min="4871" max="4872" width="6.81818181818182" style="25" customWidth="1"/>
    <col min="4873" max="4873" width="13.5454545454545" style="25" customWidth="1"/>
    <col min="4874" max="4874" width="10" style="25" customWidth="1"/>
    <col min="4875" max="4876" width="8.72727272727273" style="25"/>
    <col min="4877" max="4877" width="11" style="25" customWidth="1"/>
    <col min="4878" max="4878" width="13.2727272727273" style="25" customWidth="1"/>
    <col min="4879" max="5122" width="8.72727272727273" style="25"/>
    <col min="5123" max="5123" width="4.18181818181818" style="25" customWidth="1"/>
    <col min="5124" max="5124" width="14.4545454545455" style="25" customWidth="1"/>
    <col min="5125" max="5125" width="6.81818181818182" style="25" customWidth="1"/>
    <col min="5126" max="5126" width="14.8181818181818" style="25" customWidth="1"/>
    <col min="5127" max="5128" width="6.81818181818182" style="25" customWidth="1"/>
    <col min="5129" max="5129" width="13.5454545454545" style="25" customWidth="1"/>
    <col min="5130" max="5130" width="10" style="25" customWidth="1"/>
    <col min="5131" max="5132" width="8.72727272727273" style="25"/>
    <col min="5133" max="5133" width="11" style="25" customWidth="1"/>
    <col min="5134" max="5134" width="13.2727272727273" style="25" customWidth="1"/>
    <col min="5135" max="5378" width="8.72727272727273" style="25"/>
    <col min="5379" max="5379" width="4.18181818181818" style="25" customWidth="1"/>
    <col min="5380" max="5380" width="14.4545454545455" style="25" customWidth="1"/>
    <col min="5381" max="5381" width="6.81818181818182" style="25" customWidth="1"/>
    <col min="5382" max="5382" width="14.8181818181818" style="25" customWidth="1"/>
    <col min="5383" max="5384" width="6.81818181818182" style="25" customWidth="1"/>
    <col min="5385" max="5385" width="13.5454545454545" style="25" customWidth="1"/>
    <col min="5386" max="5386" width="10" style="25" customWidth="1"/>
    <col min="5387" max="5388" width="8.72727272727273" style="25"/>
    <col min="5389" max="5389" width="11" style="25" customWidth="1"/>
    <col min="5390" max="5390" width="13.2727272727273" style="25" customWidth="1"/>
    <col min="5391" max="5634" width="8.72727272727273" style="25"/>
    <col min="5635" max="5635" width="4.18181818181818" style="25" customWidth="1"/>
    <col min="5636" max="5636" width="14.4545454545455" style="25" customWidth="1"/>
    <col min="5637" max="5637" width="6.81818181818182" style="25" customWidth="1"/>
    <col min="5638" max="5638" width="14.8181818181818" style="25" customWidth="1"/>
    <col min="5639" max="5640" width="6.81818181818182" style="25" customWidth="1"/>
    <col min="5641" max="5641" width="13.5454545454545" style="25" customWidth="1"/>
    <col min="5642" max="5642" width="10" style="25" customWidth="1"/>
    <col min="5643" max="5644" width="8.72727272727273" style="25"/>
    <col min="5645" max="5645" width="11" style="25" customWidth="1"/>
    <col min="5646" max="5646" width="13.2727272727273" style="25" customWidth="1"/>
    <col min="5647" max="5890" width="8.72727272727273" style="25"/>
    <col min="5891" max="5891" width="4.18181818181818" style="25" customWidth="1"/>
    <col min="5892" max="5892" width="14.4545454545455" style="25" customWidth="1"/>
    <col min="5893" max="5893" width="6.81818181818182" style="25" customWidth="1"/>
    <col min="5894" max="5894" width="14.8181818181818" style="25" customWidth="1"/>
    <col min="5895" max="5896" width="6.81818181818182" style="25" customWidth="1"/>
    <col min="5897" max="5897" width="13.5454545454545" style="25" customWidth="1"/>
    <col min="5898" max="5898" width="10" style="25" customWidth="1"/>
    <col min="5899" max="5900" width="8.72727272727273" style="25"/>
    <col min="5901" max="5901" width="11" style="25" customWidth="1"/>
    <col min="5902" max="5902" width="13.2727272727273" style="25" customWidth="1"/>
    <col min="5903" max="6146" width="8.72727272727273" style="25"/>
    <col min="6147" max="6147" width="4.18181818181818" style="25" customWidth="1"/>
    <col min="6148" max="6148" width="14.4545454545455" style="25" customWidth="1"/>
    <col min="6149" max="6149" width="6.81818181818182" style="25" customWidth="1"/>
    <col min="6150" max="6150" width="14.8181818181818" style="25" customWidth="1"/>
    <col min="6151" max="6152" width="6.81818181818182" style="25" customWidth="1"/>
    <col min="6153" max="6153" width="13.5454545454545" style="25" customWidth="1"/>
    <col min="6154" max="6154" width="10" style="25" customWidth="1"/>
    <col min="6155" max="6156" width="8.72727272727273" style="25"/>
    <col min="6157" max="6157" width="11" style="25" customWidth="1"/>
    <col min="6158" max="6158" width="13.2727272727273" style="25" customWidth="1"/>
    <col min="6159" max="6402" width="8.72727272727273" style="25"/>
    <col min="6403" max="6403" width="4.18181818181818" style="25" customWidth="1"/>
    <col min="6404" max="6404" width="14.4545454545455" style="25" customWidth="1"/>
    <col min="6405" max="6405" width="6.81818181818182" style="25" customWidth="1"/>
    <col min="6406" max="6406" width="14.8181818181818" style="25" customWidth="1"/>
    <col min="6407" max="6408" width="6.81818181818182" style="25" customWidth="1"/>
    <col min="6409" max="6409" width="13.5454545454545" style="25" customWidth="1"/>
    <col min="6410" max="6410" width="10" style="25" customWidth="1"/>
    <col min="6411" max="6412" width="8.72727272727273" style="25"/>
    <col min="6413" max="6413" width="11" style="25" customWidth="1"/>
    <col min="6414" max="6414" width="13.2727272727273" style="25" customWidth="1"/>
    <col min="6415" max="6658" width="8.72727272727273" style="25"/>
    <col min="6659" max="6659" width="4.18181818181818" style="25" customWidth="1"/>
    <col min="6660" max="6660" width="14.4545454545455" style="25" customWidth="1"/>
    <col min="6661" max="6661" width="6.81818181818182" style="25" customWidth="1"/>
    <col min="6662" max="6662" width="14.8181818181818" style="25" customWidth="1"/>
    <col min="6663" max="6664" width="6.81818181818182" style="25" customWidth="1"/>
    <col min="6665" max="6665" width="13.5454545454545" style="25" customWidth="1"/>
    <col min="6666" max="6666" width="10" style="25" customWidth="1"/>
    <col min="6667" max="6668" width="8.72727272727273" style="25"/>
    <col min="6669" max="6669" width="11" style="25" customWidth="1"/>
    <col min="6670" max="6670" width="13.2727272727273" style="25" customWidth="1"/>
    <col min="6671" max="6914" width="8.72727272727273" style="25"/>
    <col min="6915" max="6915" width="4.18181818181818" style="25" customWidth="1"/>
    <col min="6916" max="6916" width="14.4545454545455" style="25" customWidth="1"/>
    <col min="6917" max="6917" width="6.81818181818182" style="25" customWidth="1"/>
    <col min="6918" max="6918" width="14.8181818181818" style="25" customWidth="1"/>
    <col min="6919" max="6920" width="6.81818181818182" style="25" customWidth="1"/>
    <col min="6921" max="6921" width="13.5454545454545" style="25" customWidth="1"/>
    <col min="6922" max="6922" width="10" style="25" customWidth="1"/>
    <col min="6923" max="6924" width="8.72727272727273" style="25"/>
    <col min="6925" max="6925" width="11" style="25" customWidth="1"/>
    <col min="6926" max="6926" width="13.2727272727273" style="25" customWidth="1"/>
    <col min="6927" max="7170" width="8.72727272727273" style="25"/>
    <col min="7171" max="7171" width="4.18181818181818" style="25" customWidth="1"/>
    <col min="7172" max="7172" width="14.4545454545455" style="25" customWidth="1"/>
    <col min="7173" max="7173" width="6.81818181818182" style="25" customWidth="1"/>
    <col min="7174" max="7174" width="14.8181818181818" style="25" customWidth="1"/>
    <col min="7175" max="7176" width="6.81818181818182" style="25" customWidth="1"/>
    <col min="7177" max="7177" width="13.5454545454545" style="25" customWidth="1"/>
    <col min="7178" max="7178" width="10" style="25" customWidth="1"/>
    <col min="7179" max="7180" width="8.72727272727273" style="25"/>
    <col min="7181" max="7181" width="11" style="25" customWidth="1"/>
    <col min="7182" max="7182" width="13.2727272727273" style="25" customWidth="1"/>
    <col min="7183" max="7426" width="8.72727272727273" style="25"/>
    <col min="7427" max="7427" width="4.18181818181818" style="25" customWidth="1"/>
    <col min="7428" max="7428" width="14.4545454545455" style="25" customWidth="1"/>
    <col min="7429" max="7429" width="6.81818181818182" style="25" customWidth="1"/>
    <col min="7430" max="7430" width="14.8181818181818" style="25" customWidth="1"/>
    <col min="7431" max="7432" width="6.81818181818182" style="25" customWidth="1"/>
    <col min="7433" max="7433" width="13.5454545454545" style="25" customWidth="1"/>
    <col min="7434" max="7434" width="10" style="25" customWidth="1"/>
    <col min="7435" max="7436" width="8.72727272727273" style="25"/>
    <col min="7437" max="7437" width="11" style="25" customWidth="1"/>
    <col min="7438" max="7438" width="13.2727272727273" style="25" customWidth="1"/>
    <col min="7439" max="7682" width="8.72727272727273" style="25"/>
    <col min="7683" max="7683" width="4.18181818181818" style="25" customWidth="1"/>
    <col min="7684" max="7684" width="14.4545454545455" style="25" customWidth="1"/>
    <col min="7685" max="7685" width="6.81818181818182" style="25" customWidth="1"/>
    <col min="7686" max="7686" width="14.8181818181818" style="25" customWidth="1"/>
    <col min="7687" max="7688" width="6.81818181818182" style="25" customWidth="1"/>
    <col min="7689" max="7689" width="13.5454545454545" style="25" customWidth="1"/>
    <col min="7690" max="7690" width="10" style="25" customWidth="1"/>
    <col min="7691" max="7692" width="8.72727272727273" style="25"/>
    <col min="7693" max="7693" width="11" style="25" customWidth="1"/>
    <col min="7694" max="7694" width="13.2727272727273" style="25" customWidth="1"/>
    <col min="7695" max="7938" width="8.72727272727273" style="25"/>
    <col min="7939" max="7939" width="4.18181818181818" style="25" customWidth="1"/>
    <col min="7940" max="7940" width="14.4545454545455" style="25" customWidth="1"/>
    <col min="7941" max="7941" width="6.81818181818182" style="25" customWidth="1"/>
    <col min="7942" max="7942" width="14.8181818181818" style="25" customWidth="1"/>
    <col min="7943" max="7944" width="6.81818181818182" style="25" customWidth="1"/>
    <col min="7945" max="7945" width="13.5454545454545" style="25" customWidth="1"/>
    <col min="7946" max="7946" width="10" style="25" customWidth="1"/>
    <col min="7947" max="7948" width="8.72727272727273" style="25"/>
    <col min="7949" max="7949" width="11" style="25" customWidth="1"/>
    <col min="7950" max="7950" width="13.2727272727273" style="25" customWidth="1"/>
    <col min="7951" max="8194" width="8.72727272727273" style="25"/>
    <col min="8195" max="8195" width="4.18181818181818" style="25" customWidth="1"/>
    <col min="8196" max="8196" width="14.4545454545455" style="25" customWidth="1"/>
    <col min="8197" max="8197" width="6.81818181818182" style="25" customWidth="1"/>
    <col min="8198" max="8198" width="14.8181818181818" style="25" customWidth="1"/>
    <col min="8199" max="8200" width="6.81818181818182" style="25" customWidth="1"/>
    <col min="8201" max="8201" width="13.5454545454545" style="25" customWidth="1"/>
    <col min="8202" max="8202" width="10" style="25" customWidth="1"/>
    <col min="8203" max="8204" width="8.72727272727273" style="25"/>
    <col min="8205" max="8205" width="11" style="25" customWidth="1"/>
    <col min="8206" max="8206" width="13.2727272727273" style="25" customWidth="1"/>
    <col min="8207" max="8450" width="8.72727272727273" style="25"/>
    <col min="8451" max="8451" width="4.18181818181818" style="25" customWidth="1"/>
    <col min="8452" max="8452" width="14.4545454545455" style="25" customWidth="1"/>
    <col min="8453" max="8453" width="6.81818181818182" style="25" customWidth="1"/>
    <col min="8454" max="8454" width="14.8181818181818" style="25" customWidth="1"/>
    <col min="8455" max="8456" width="6.81818181818182" style="25" customWidth="1"/>
    <col min="8457" max="8457" width="13.5454545454545" style="25" customWidth="1"/>
    <col min="8458" max="8458" width="10" style="25" customWidth="1"/>
    <col min="8459" max="8460" width="8.72727272727273" style="25"/>
    <col min="8461" max="8461" width="11" style="25" customWidth="1"/>
    <col min="8462" max="8462" width="13.2727272727273" style="25" customWidth="1"/>
    <col min="8463" max="8706" width="8.72727272727273" style="25"/>
    <col min="8707" max="8707" width="4.18181818181818" style="25" customWidth="1"/>
    <col min="8708" max="8708" width="14.4545454545455" style="25" customWidth="1"/>
    <col min="8709" max="8709" width="6.81818181818182" style="25" customWidth="1"/>
    <col min="8710" max="8710" width="14.8181818181818" style="25" customWidth="1"/>
    <col min="8711" max="8712" width="6.81818181818182" style="25" customWidth="1"/>
    <col min="8713" max="8713" width="13.5454545454545" style="25" customWidth="1"/>
    <col min="8714" max="8714" width="10" style="25" customWidth="1"/>
    <col min="8715" max="8716" width="8.72727272727273" style="25"/>
    <col min="8717" max="8717" width="11" style="25" customWidth="1"/>
    <col min="8718" max="8718" width="13.2727272727273" style="25" customWidth="1"/>
    <col min="8719" max="8962" width="8.72727272727273" style="25"/>
    <col min="8963" max="8963" width="4.18181818181818" style="25" customWidth="1"/>
    <col min="8964" max="8964" width="14.4545454545455" style="25" customWidth="1"/>
    <col min="8965" max="8965" width="6.81818181818182" style="25" customWidth="1"/>
    <col min="8966" max="8966" width="14.8181818181818" style="25" customWidth="1"/>
    <col min="8967" max="8968" width="6.81818181818182" style="25" customWidth="1"/>
    <col min="8969" max="8969" width="13.5454545454545" style="25" customWidth="1"/>
    <col min="8970" max="8970" width="10" style="25" customWidth="1"/>
    <col min="8971" max="8972" width="8.72727272727273" style="25"/>
    <col min="8973" max="8973" width="11" style="25" customWidth="1"/>
    <col min="8974" max="8974" width="13.2727272727273" style="25" customWidth="1"/>
    <col min="8975" max="9218" width="8.72727272727273" style="25"/>
    <col min="9219" max="9219" width="4.18181818181818" style="25" customWidth="1"/>
    <col min="9220" max="9220" width="14.4545454545455" style="25" customWidth="1"/>
    <col min="9221" max="9221" width="6.81818181818182" style="25" customWidth="1"/>
    <col min="9222" max="9222" width="14.8181818181818" style="25" customWidth="1"/>
    <col min="9223" max="9224" width="6.81818181818182" style="25" customWidth="1"/>
    <col min="9225" max="9225" width="13.5454545454545" style="25" customWidth="1"/>
    <col min="9226" max="9226" width="10" style="25" customWidth="1"/>
    <col min="9227" max="9228" width="8.72727272727273" style="25"/>
    <col min="9229" max="9229" width="11" style="25" customWidth="1"/>
    <col min="9230" max="9230" width="13.2727272727273" style="25" customWidth="1"/>
    <col min="9231" max="9474" width="8.72727272727273" style="25"/>
    <col min="9475" max="9475" width="4.18181818181818" style="25" customWidth="1"/>
    <col min="9476" max="9476" width="14.4545454545455" style="25" customWidth="1"/>
    <col min="9477" max="9477" width="6.81818181818182" style="25" customWidth="1"/>
    <col min="9478" max="9478" width="14.8181818181818" style="25" customWidth="1"/>
    <col min="9479" max="9480" width="6.81818181818182" style="25" customWidth="1"/>
    <col min="9481" max="9481" width="13.5454545454545" style="25" customWidth="1"/>
    <col min="9482" max="9482" width="10" style="25" customWidth="1"/>
    <col min="9483" max="9484" width="8.72727272727273" style="25"/>
    <col min="9485" max="9485" width="11" style="25" customWidth="1"/>
    <col min="9486" max="9486" width="13.2727272727273" style="25" customWidth="1"/>
    <col min="9487" max="9730" width="8.72727272727273" style="25"/>
    <col min="9731" max="9731" width="4.18181818181818" style="25" customWidth="1"/>
    <col min="9732" max="9732" width="14.4545454545455" style="25" customWidth="1"/>
    <col min="9733" max="9733" width="6.81818181818182" style="25" customWidth="1"/>
    <col min="9734" max="9734" width="14.8181818181818" style="25" customWidth="1"/>
    <col min="9735" max="9736" width="6.81818181818182" style="25" customWidth="1"/>
    <col min="9737" max="9737" width="13.5454545454545" style="25" customWidth="1"/>
    <col min="9738" max="9738" width="10" style="25" customWidth="1"/>
    <col min="9739" max="9740" width="8.72727272727273" style="25"/>
    <col min="9741" max="9741" width="11" style="25" customWidth="1"/>
    <col min="9742" max="9742" width="13.2727272727273" style="25" customWidth="1"/>
    <col min="9743" max="9986" width="8.72727272727273" style="25"/>
    <col min="9987" max="9987" width="4.18181818181818" style="25" customWidth="1"/>
    <col min="9988" max="9988" width="14.4545454545455" style="25" customWidth="1"/>
    <col min="9989" max="9989" width="6.81818181818182" style="25" customWidth="1"/>
    <col min="9990" max="9990" width="14.8181818181818" style="25" customWidth="1"/>
    <col min="9991" max="9992" width="6.81818181818182" style="25" customWidth="1"/>
    <col min="9993" max="9993" width="13.5454545454545" style="25" customWidth="1"/>
    <col min="9994" max="9994" width="10" style="25" customWidth="1"/>
    <col min="9995" max="9996" width="8.72727272727273" style="25"/>
    <col min="9997" max="9997" width="11" style="25" customWidth="1"/>
    <col min="9998" max="9998" width="13.2727272727273" style="25" customWidth="1"/>
    <col min="9999" max="10242" width="8.72727272727273" style="25"/>
    <col min="10243" max="10243" width="4.18181818181818" style="25" customWidth="1"/>
    <col min="10244" max="10244" width="14.4545454545455" style="25" customWidth="1"/>
    <col min="10245" max="10245" width="6.81818181818182" style="25" customWidth="1"/>
    <col min="10246" max="10246" width="14.8181818181818" style="25" customWidth="1"/>
    <col min="10247" max="10248" width="6.81818181818182" style="25" customWidth="1"/>
    <col min="10249" max="10249" width="13.5454545454545" style="25" customWidth="1"/>
    <col min="10250" max="10250" width="10" style="25" customWidth="1"/>
    <col min="10251" max="10252" width="8.72727272727273" style="25"/>
    <col min="10253" max="10253" width="11" style="25" customWidth="1"/>
    <col min="10254" max="10254" width="13.2727272727273" style="25" customWidth="1"/>
    <col min="10255" max="10498" width="8.72727272727273" style="25"/>
    <col min="10499" max="10499" width="4.18181818181818" style="25" customWidth="1"/>
    <col min="10500" max="10500" width="14.4545454545455" style="25" customWidth="1"/>
    <col min="10501" max="10501" width="6.81818181818182" style="25" customWidth="1"/>
    <col min="10502" max="10502" width="14.8181818181818" style="25" customWidth="1"/>
    <col min="10503" max="10504" width="6.81818181818182" style="25" customWidth="1"/>
    <col min="10505" max="10505" width="13.5454545454545" style="25" customWidth="1"/>
    <col min="10506" max="10506" width="10" style="25" customWidth="1"/>
    <col min="10507" max="10508" width="8.72727272727273" style="25"/>
    <col min="10509" max="10509" width="11" style="25" customWidth="1"/>
    <col min="10510" max="10510" width="13.2727272727273" style="25" customWidth="1"/>
    <col min="10511" max="10754" width="8.72727272727273" style="25"/>
    <col min="10755" max="10755" width="4.18181818181818" style="25" customWidth="1"/>
    <col min="10756" max="10756" width="14.4545454545455" style="25" customWidth="1"/>
    <col min="10757" max="10757" width="6.81818181818182" style="25" customWidth="1"/>
    <col min="10758" max="10758" width="14.8181818181818" style="25" customWidth="1"/>
    <col min="10759" max="10760" width="6.81818181818182" style="25" customWidth="1"/>
    <col min="10761" max="10761" width="13.5454545454545" style="25" customWidth="1"/>
    <col min="10762" max="10762" width="10" style="25" customWidth="1"/>
    <col min="10763" max="10764" width="8.72727272727273" style="25"/>
    <col min="10765" max="10765" width="11" style="25" customWidth="1"/>
    <col min="10766" max="10766" width="13.2727272727273" style="25" customWidth="1"/>
    <col min="10767" max="11010" width="8.72727272727273" style="25"/>
    <col min="11011" max="11011" width="4.18181818181818" style="25" customWidth="1"/>
    <col min="11012" max="11012" width="14.4545454545455" style="25" customWidth="1"/>
    <col min="11013" max="11013" width="6.81818181818182" style="25" customWidth="1"/>
    <col min="11014" max="11014" width="14.8181818181818" style="25" customWidth="1"/>
    <col min="11015" max="11016" width="6.81818181818182" style="25" customWidth="1"/>
    <col min="11017" max="11017" width="13.5454545454545" style="25" customWidth="1"/>
    <col min="11018" max="11018" width="10" style="25" customWidth="1"/>
    <col min="11019" max="11020" width="8.72727272727273" style="25"/>
    <col min="11021" max="11021" width="11" style="25" customWidth="1"/>
    <col min="11022" max="11022" width="13.2727272727273" style="25" customWidth="1"/>
    <col min="11023" max="11266" width="8.72727272727273" style="25"/>
    <col min="11267" max="11267" width="4.18181818181818" style="25" customWidth="1"/>
    <col min="11268" max="11268" width="14.4545454545455" style="25" customWidth="1"/>
    <col min="11269" max="11269" width="6.81818181818182" style="25" customWidth="1"/>
    <col min="11270" max="11270" width="14.8181818181818" style="25" customWidth="1"/>
    <col min="11271" max="11272" width="6.81818181818182" style="25" customWidth="1"/>
    <col min="11273" max="11273" width="13.5454545454545" style="25" customWidth="1"/>
    <col min="11274" max="11274" width="10" style="25" customWidth="1"/>
    <col min="11275" max="11276" width="8.72727272727273" style="25"/>
    <col min="11277" max="11277" width="11" style="25" customWidth="1"/>
    <col min="11278" max="11278" width="13.2727272727273" style="25" customWidth="1"/>
    <col min="11279" max="11522" width="8.72727272727273" style="25"/>
    <col min="11523" max="11523" width="4.18181818181818" style="25" customWidth="1"/>
    <col min="11524" max="11524" width="14.4545454545455" style="25" customWidth="1"/>
    <col min="11525" max="11525" width="6.81818181818182" style="25" customWidth="1"/>
    <col min="11526" max="11526" width="14.8181818181818" style="25" customWidth="1"/>
    <col min="11527" max="11528" width="6.81818181818182" style="25" customWidth="1"/>
    <col min="11529" max="11529" width="13.5454545454545" style="25" customWidth="1"/>
    <col min="11530" max="11530" width="10" style="25" customWidth="1"/>
    <col min="11531" max="11532" width="8.72727272727273" style="25"/>
    <col min="11533" max="11533" width="11" style="25" customWidth="1"/>
    <col min="11534" max="11534" width="13.2727272727273" style="25" customWidth="1"/>
    <col min="11535" max="11778" width="8.72727272727273" style="25"/>
    <col min="11779" max="11779" width="4.18181818181818" style="25" customWidth="1"/>
    <col min="11780" max="11780" width="14.4545454545455" style="25" customWidth="1"/>
    <col min="11781" max="11781" width="6.81818181818182" style="25" customWidth="1"/>
    <col min="11782" max="11782" width="14.8181818181818" style="25" customWidth="1"/>
    <col min="11783" max="11784" width="6.81818181818182" style="25" customWidth="1"/>
    <col min="11785" max="11785" width="13.5454545454545" style="25" customWidth="1"/>
    <col min="11786" max="11786" width="10" style="25" customWidth="1"/>
    <col min="11787" max="11788" width="8.72727272727273" style="25"/>
    <col min="11789" max="11789" width="11" style="25" customWidth="1"/>
    <col min="11790" max="11790" width="13.2727272727273" style="25" customWidth="1"/>
    <col min="11791" max="12034" width="8.72727272727273" style="25"/>
    <col min="12035" max="12035" width="4.18181818181818" style="25" customWidth="1"/>
    <col min="12036" max="12036" width="14.4545454545455" style="25" customWidth="1"/>
    <col min="12037" max="12037" width="6.81818181818182" style="25" customWidth="1"/>
    <col min="12038" max="12038" width="14.8181818181818" style="25" customWidth="1"/>
    <col min="12039" max="12040" width="6.81818181818182" style="25" customWidth="1"/>
    <col min="12041" max="12041" width="13.5454545454545" style="25" customWidth="1"/>
    <col min="12042" max="12042" width="10" style="25" customWidth="1"/>
    <col min="12043" max="12044" width="8.72727272727273" style="25"/>
    <col min="12045" max="12045" width="11" style="25" customWidth="1"/>
    <col min="12046" max="12046" width="13.2727272727273" style="25" customWidth="1"/>
    <col min="12047" max="12290" width="8.72727272727273" style="25"/>
    <col min="12291" max="12291" width="4.18181818181818" style="25" customWidth="1"/>
    <col min="12292" max="12292" width="14.4545454545455" style="25" customWidth="1"/>
    <col min="12293" max="12293" width="6.81818181818182" style="25" customWidth="1"/>
    <col min="12294" max="12294" width="14.8181818181818" style="25" customWidth="1"/>
    <col min="12295" max="12296" width="6.81818181818182" style="25" customWidth="1"/>
    <col min="12297" max="12297" width="13.5454545454545" style="25" customWidth="1"/>
    <col min="12298" max="12298" width="10" style="25" customWidth="1"/>
    <col min="12299" max="12300" width="8.72727272727273" style="25"/>
    <col min="12301" max="12301" width="11" style="25" customWidth="1"/>
    <col min="12302" max="12302" width="13.2727272727273" style="25" customWidth="1"/>
    <col min="12303" max="12546" width="8.72727272727273" style="25"/>
    <col min="12547" max="12547" width="4.18181818181818" style="25" customWidth="1"/>
    <col min="12548" max="12548" width="14.4545454545455" style="25" customWidth="1"/>
    <col min="12549" max="12549" width="6.81818181818182" style="25" customWidth="1"/>
    <col min="12550" max="12550" width="14.8181818181818" style="25" customWidth="1"/>
    <col min="12551" max="12552" width="6.81818181818182" style="25" customWidth="1"/>
    <col min="12553" max="12553" width="13.5454545454545" style="25" customWidth="1"/>
    <col min="12554" max="12554" width="10" style="25" customWidth="1"/>
    <col min="12555" max="12556" width="8.72727272727273" style="25"/>
    <col min="12557" max="12557" width="11" style="25" customWidth="1"/>
    <col min="12558" max="12558" width="13.2727272727273" style="25" customWidth="1"/>
    <col min="12559" max="12802" width="8.72727272727273" style="25"/>
    <col min="12803" max="12803" width="4.18181818181818" style="25" customWidth="1"/>
    <col min="12804" max="12804" width="14.4545454545455" style="25" customWidth="1"/>
    <col min="12805" max="12805" width="6.81818181818182" style="25" customWidth="1"/>
    <col min="12806" max="12806" width="14.8181818181818" style="25" customWidth="1"/>
    <col min="12807" max="12808" width="6.81818181818182" style="25" customWidth="1"/>
    <col min="12809" max="12809" width="13.5454545454545" style="25" customWidth="1"/>
    <col min="12810" max="12810" width="10" style="25" customWidth="1"/>
    <col min="12811" max="12812" width="8.72727272727273" style="25"/>
    <col min="12813" max="12813" width="11" style="25" customWidth="1"/>
    <col min="12814" max="12814" width="13.2727272727273" style="25" customWidth="1"/>
    <col min="12815" max="13058" width="8.72727272727273" style="25"/>
    <col min="13059" max="13059" width="4.18181818181818" style="25" customWidth="1"/>
    <col min="13060" max="13060" width="14.4545454545455" style="25" customWidth="1"/>
    <col min="13061" max="13061" width="6.81818181818182" style="25" customWidth="1"/>
    <col min="13062" max="13062" width="14.8181818181818" style="25" customWidth="1"/>
    <col min="13063" max="13064" width="6.81818181818182" style="25" customWidth="1"/>
    <col min="13065" max="13065" width="13.5454545454545" style="25" customWidth="1"/>
    <col min="13066" max="13066" width="10" style="25" customWidth="1"/>
    <col min="13067" max="13068" width="8.72727272727273" style="25"/>
    <col min="13069" max="13069" width="11" style="25" customWidth="1"/>
    <col min="13070" max="13070" width="13.2727272727273" style="25" customWidth="1"/>
    <col min="13071" max="13314" width="8.72727272727273" style="25"/>
    <col min="13315" max="13315" width="4.18181818181818" style="25" customWidth="1"/>
    <col min="13316" max="13316" width="14.4545454545455" style="25" customWidth="1"/>
    <col min="13317" max="13317" width="6.81818181818182" style="25" customWidth="1"/>
    <col min="13318" max="13318" width="14.8181818181818" style="25" customWidth="1"/>
    <col min="13319" max="13320" width="6.81818181818182" style="25" customWidth="1"/>
    <col min="13321" max="13321" width="13.5454545454545" style="25" customWidth="1"/>
    <col min="13322" max="13322" width="10" style="25" customWidth="1"/>
    <col min="13323" max="13324" width="8.72727272727273" style="25"/>
    <col min="13325" max="13325" width="11" style="25" customWidth="1"/>
    <col min="13326" max="13326" width="13.2727272727273" style="25" customWidth="1"/>
    <col min="13327" max="13570" width="8.72727272727273" style="25"/>
    <col min="13571" max="13571" width="4.18181818181818" style="25" customWidth="1"/>
    <col min="13572" max="13572" width="14.4545454545455" style="25" customWidth="1"/>
    <col min="13573" max="13573" width="6.81818181818182" style="25" customWidth="1"/>
    <col min="13574" max="13574" width="14.8181818181818" style="25" customWidth="1"/>
    <col min="13575" max="13576" width="6.81818181818182" style="25" customWidth="1"/>
    <col min="13577" max="13577" width="13.5454545454545" style="25" customWidth="1"/>
    <col min="13578" max="13578" width="10" style="25" customWidth="1"/>
    <col min="13579" max="13580" width="8.72727272727273" style="25"/>
    <col min="13581" max="13581" width="11" style="25" customWidth="1"/>
    <col min="13582" max="13582" width="13.2727272727273" style="25" customWidth="1"/>
    <col min="13583" max="13826" width="8.72727272727273" style="25"/>
    <col min="13827" max="13827" width="4.18181818181818" style="25" customWidth="1"/>
    <col min="13828" max="13828" width="14.4545454545455" style="25" customWidth="1"/>
    <col min="13829" max="13829" width="6.81818181818182" style="25" customWidth="1"/>
    <col min="13830" max="13830" width="14.8181818181818" style="25" customWidth="1"/>
    <col min="13831" max="13832" width="6.81818181818182" style="25" customWidth="1"/>
    <col min="13833" max="13833" width="13.5454545454545" style="25" customWidth="1"/>
    <col min="13834" max="13834" width="10" style="25" customWidth="1"/>
    <col min="13835" max="13836" width="8.72727272727273" style="25"/>
    <col min="13837" max="13837" width="11" style="25" customWidth="1"/>
    <col min="13838" max="13838" width="13.2727272727273" style="25" customWidth="1"/>
    <col min="13839" max="14082" width="8.72727272727273" style="25"/>
    <col min="14083" max="14083" width="4.18181818181818" style="25" customWidth="1"/>
    <col min="14084" max="14084" width="14.4545454545455" style="25" customWidth="1"/>
    <col min="14085" max="14085" width="6.81818181818182" style="25" customWidth="1"/>
    <col min="14086" max="14086" width="14.8181818181818" style="25" customWidth="1"/>
    <col min="14087" max="14088" width="6.81818181818182" style="25" customWidth="1"/>
    <col min="14089" max="14089" width="13.5454545454545" style="25" customWidth="1"/>
    <col min="14090" max="14090" width="10" style="25" customWidth="1"/>
    <col min="14091" max="14092" width="8.72727272727273" style="25"/>
    <col min="14093" max="14093" width="11" style="25" customWidth="1"/>
    <col min="14094" max="14094" width="13.2727272727273" style="25" customWidth="1"/>
    <col min="14095" max="14338" width="8.72727272727273" style="25"/>
    <col min="14339" max="14339" width="4.18181818181818" style="25" customWidth="1"/>
    <col min="14340" max="14340" width="14.4545454545455" style="25" customWidth="1"/>
    <col min="14341" max="14341" width="6.81818181818182" style="25" customWidth="1"/>
    <col min="14342" max="14342" width="14.8181818181818" style="25" customWidth="1"/>
    <col min="14343" max="14344" width="6.81818181818182" style="25" customWidth="1"/>
    <col min="14345" max="14345" width="13.5454545454545" style="25" customWidth="1"/>
    <col min="14346" max="14346" width="10" style="25" customWidth="1"/>
    <col min="14347" max="14348" width="8.72727272727273" style="25"/>
    <col min="14349" max="14349" width="11" style="25" customWidth="1"/>
    <col min="14350" max="14350" width="13.2727272727273" style="25" customWidth="1"/>
    <col min="14351" max="14594" width="8.72727272727273" style="25"/>
    <col min="14595" max="14595" width="4.18181818181818" style="25" customWidth="1"/>
    <col min="14596" max="14596" width="14.4545454545455" style="25" customWidth="1"/>
    <col min="14597" max="14597" width="6.81818181818182" style="25" customWidth="1"/>
    <col min="14598" max="14598" width="14.8181818181818" style="25" customWidth="1"/>
    <col min="14599" max="14600" width="6.81818181818182" style="25" customWidth="1"/>
    <col min="14601" max="14601" width="13.5454545454545" style="25" customWidth="1"/>
    <col min="14602" max="14602" width="10" style="25" customWidth="1"/>
    <col min="14603" max="14604" width="8.72727272727273" style="25"/>
    <col min="14605" max="14605" width="11" style="25" customWidth="1"/>
    <col min="14606" max="14606" width="13.2727272727273" style="25" customWidth="1"/>
    <col min="14607" max="14850" width="8.72727272727273" style="25"/>
    <col min="14851" max="14851" width="4.18181818181818" style="25" customWidth="1"/>
    <col min="14852" max="14852" width="14.4545454545455" style="25" customWidth="1"/>
    <col min="14853" max="14853" width="6.81818181818182" style="25" customWidth="1"/>
    <col min="14854" max="14854" width="14.8181818181818" style="25" customWidth="1"/>
    <col min="14855" max="14856" width="6.81818181818182" style="25" customWidth="1"/>
    <col min="14857" max="14857" width="13.5454545454545" style="25" customWidth="1"/>
    <col min="14858" max="14858" width="10" style="25" customWidth="1"/>
    <col min="14859" max="14860" width="8.72727272727273" style="25"/>
    <col min="14861" max="14861" width="11" style="25" customWidth="1"/>
    <col min="14862" max="14862" width="13.2727272727273" style="25" customWidth="1"/>
    <col min="14863" max="15106" width="8.72727272727273" style="25"/>
    <col min="15107" max="15107" width="4.18181818181818" style="25" customWidth="1"/>
    <col min="15108" max="15108" width="14.4545454545455" style="25" customWidth="1"/>
    <col min="15109" max="15109" width="6.81818181818182" style="25" customWidth="1"/>
    <col min="15110" max="15110" width="14.8181818181818" style="25" customWidth="1"/>
    <col min="15111" max="15112" width="6.81818181818182" style="25" customWidth="1"/>
    <col min="15113" max="15113" width="13.5454545454545" style="25" customWidth="1"/>
    <col min="15114" max="15114" width="10" style="25" customWidth="1"/>
    <col min="15115" max="15116" width="8.72727272727273" style="25"/>
    <col min="15117" max="15117" width="11" style="25" customWidth="1"/>
    <col min="15118" max="15118" width="13.2727272727273" style="25" customWidth="1"/>
    <col min="15119" max="15362" width="8.72727272727273" style="25"/>
    <col min="15363" max="15363" width="4.18181818181818" style="25" customWidth="1"/>
    <col min="15364" max="15364" width="14.4545454545455" style="25" customWidth="1"/>
    <col min="15365" max="15365" width="6.81818181818182" style="25" customWidth="1"/>
    <col min="15366" max="15366" width="14.8181818181818" style="25" customWidth="1"/>
    <col min="15367" max="15368" width="6.81818181818182" style="25" customWidth="1"/>
    <col min="15369" max="15369" width="13.5454545454545" style="25" customWidth="1"/>
    <col min="15370" max="15370" width="10" style="25" customWidth="1"/>
    <col min="15371" max="15372" width="8.72727272727273" style="25"/>
    <col min="15373" max="15373" width="11" style="25" customWidth="1"/>
    <col min="15374" max="15374" width="13.2727272727273" style="25" customWidth="1"/>
    <col min="15375" max="15618" width="8.72727272727273" style="25"/>
    <col min="15619" max="15619" width="4.18181818181818" style="25" customWidth="1"/>
    <col min="15620" max="15620" width="14.4545454545455" style="25" customWidth="1"/>
    <col min="15621" max="15621" width="6.81818181818182" style="25" customWidth="1"/>
    <col min="15622" max="15622" width="14.8181818181818" style="25" customWidth="1"/>
    <col min="15623" max="15624" width="6.81818181818182" style="25" customWidth="1"/>
    <col min="15625" max="15625" width="13.5454545454545" style="25" customWidth="1"/>
    <col min="15626" max="15626" width="10" style="25" customWidth="1"/>
    <col min="15627" max="15628" width="8.72727272727273" style="25"/>
    <col min="15629" max="15629" width="11" style="25" customWidth="1"/>
    <col min="15630" max="15630" width="13.2727272727273" style="25" customWidth="1"/>
    <col min="15631" max="15874" width="8.72727272727273" style="25"/>
    <col min="15875" max="15875" width="4.18181818181818" style="25" customWidth="1"/>
    <col min="15876" max="15876" width="14.4545454545455" style="25" customWidth="1"/>
    <col min="15877" max="15877" width="6.81818181818182" style="25" customWidth="1"/>
    <col min="15878" max="15878" width="14.8181818181818" style="25" customWidth="1"/>
    <col min="15879" max="15880" width="6.81818181818182" style="25" customWidth="1"/>
    <col min="15881" max="15881" width="13.5454545454545" style="25" customWidth="1"/>
    <col min="15882" max="15882" width="10" style="25" customWidth="1"/>
    <col min="15883" max="15884" width="8.72727272727273" style="25"/>
    <col min="15885" max="15885" width="11" style="25" customWidth="1"/>
    <col min="15886" max="15886" width="13.2727272727273" style="25" customWidth="1"/>
    <col min="15887" max="16130" width="8.72727272727273" style="25"/>
    <col min="16131" max="16131" width="4.18181818181818" style="25" customWidth="1"/>
    <col min="16132" max="16132" width="14.4545454545455" style="25" customWidth="1"/>
    <col min="16133" max="16133" width="6.81818181818182" style="25" customWidth="1"/>
    <col min="16134" max="16134" width="14.8181818181818" style="25" customWidth="1"/>
    <col min="16135" max="16136" width="6.81818181818182" style="25" customWidth="1"/>
    <col min="16137" max="16137" width="13.5454545454545" style="25" customWidth="1"/>
    <col min="16138" max="16138" width="10" style="25" customWidth="1"/>
    <col min="16139" max="16140" width="8.72727272727273" style="25"/>
    <col min="16141" max="16141" width="11" style="25" customWidth="1"/>
    <col min="16142" max="16142" width="13.2727272727273" style="25" customWidth="1"/>
    <col min="16143" max="16384" width="8.72727272727273" style="25"/>
  </cols>
  <sheetData>
    <row r="1" s="25" customFormat="1" spans="2:2">
      <c r="B1" s="26" t="s">
        <v>54</v>
      </c>
    </row>
    <row r="2" s="25" customFormat="1" spans="2:10">
      <c r="B2" s="27"/>
      <c r="C2" s="27" t="s">
        <v>55</v>
      </c>
      <c r="D2" s="27"/>
      <c r="E2" s="27"/>
      <c r="F2" s="27"/>
      <c r="G2" s="27"/>
      <c r="H2" s="27"/>
      <c r="I2" s="27"/>
      <c r="J2" s="27"/>
    </row>
    <row r="3" s="25" customFormat="1" spans="2:10">
      <c r="B3" s="28" t="s">
        <v>56</v>
      </c>
      <c r="C3" s="28"/>
      <c r="D3" s="28"/>
      <c r="E3" s="28"/>
      <c r="F3" s="28"/>
      <c r="G3" s="28"/>
      <c r="H3" s="28"/>
      <c r="I3" s="28"/>
      <c r="J3" s="28"/>
    </row>
    <row r="4" s="25" customFormat="1" spans="2:10">
      <c r="B4" s="28" t="s">
        <v>57</v>
      </c>
      <c r="C4" s="28"/>
      <c r="D4" s="28"/>
      <c r="E4" s="28"/>
      <c r="F4" s="28"/>
      <c r="G4" s="28"/>
      <c r="H4" s="28"/>
      <c r="I4" s="28"/>
      <c r="J4" s="28"/>
    </row>
    <row r="6" s="25" customFormat="1" ht="34.75" spans="2:14">
      <c r="B6" s="29" t="s">
        <v>0</v>
      </c>
      <c r="C6" s="30" t="s">
        <v>58</v>
      </c>
      <c r="D6" s="31" t="s">
        <v>59</v>
      </c>
      <c r="E6" s="31"/>
      <c r="F6" s="31"/>
      <c r="G6" s="31"/>
      <c r="H6" s="32" t="s">
        <v>60</v>
      </c>
      <c r="I6" s="32" t="s">
        <v>61</v>
      </c>
      <c r="J6" s="46" t="s">
        <v>62</v>
      </c>
      <c r="K6" s="47" t="s">
        <v>63</v>
      </c>
      <c r="M6" s="48" t="s">
        <v>64</v>
      </c>
      <c r="N6" s="49"/>
    </row>
    <row r="7" s="25" customFormat="1" ht="17.75" spans="2:14">
      <c r="B7" s="33"/>
      <c r="C7" s="34"/>
      <c r="D7" s="35" t="s">
        <v>65</v>
      </c>
      <c r="E7" s="35" t="s">
        <v>66</v>
      </c>
      <c r="F7" s="35" t="s">
        <v>67</v>
      </c>
      <c r="G7" s="35" t="s">
        <v>68</v>
      </c>
      <c r="H7" s="36"/>
      <c r="I7" s="36"/>
      <c r="J7" s="50"/>
      <c r="K7" s="47"/>
      <c r="M7" s="51" t="s">
        <v>69</v>
      </c>
      <c r="N7" s="52" t="s">
        <v>61</v>
      </c>
    </row>
    <row r="8" s="25" customFormat="1" ht="17.75" spans="2:14">
      <c r="B8" s="37">
        <v>1</v>
      </c>
      <c r="C8" s="38" t="s">
        <v>70</v>
      </c>
      <c r="D8" s="39">
        <v>85</v>
      </c>
      <c r="E8" s="39">
        <v>80</v>
      </c>
      <c r="F8" s="39">
        <v>75</v>
      </c>
      <c r="G8" s="39">
        <v>90</v>
      </c>
      <c r="H8" s="40">
        <f t="shared" ref="H8:H17" si="0">AVERAGE(D8:G8)</f>
        <v>82.5</v>
      </c>
      <c r="I8" s="53" t="str" cm="1">
        <f t="array" ref="I8">_xlfn.IFS(H8&gt;=81,"A",H8&gt;71,"B",H8&gt;61,"C",H8&lt;60,"D")</f>
        <v>A</v>
      </c>
      <c r="J8" s="54">
        <f t="shared" ref="J8:J17" si="1">RANK(H8,$H$8:$H$17,0)</f>
        <v>4</v>
      </c>
      <c r="K8" s="54" t="str" cm="1">
        <f t="array" ref="K8">_xlfn.IFS(AND(F8&gt;80,G8&gt;85),"IPA",AND(E8&gt;80,D8&gt;80),"Bahasa",TRUE,"IPS")</f>
        <v>IPS</v>
      </c>
      <c r="M8" s="37" t="s">
        <v>71</v>
      </c>
      <c r="N8" s="55" t="s">
        <v>72</v>
      </c>
    </row>
    <row r="9" s="25" customFormat="1" ht="17.75" spans="2:14">
      <c r="B9" s="41">
        <v>2</v>
      </c>
      <c r="C9" s="42" t="s">
        <v>73</v>
      </c>
      <c r="D9" s="43">
        <v>78</v>
      </c>
      <c r="E9" s="43">
        <v>85</v>
      </c>
      <c r="F9" s="43">
        <v>85</v>
      </c>
      <c r="G9" s="43">
        <v>70</v>
      </c>
      <c r="H9" s="40">
        <f t="shared" si="0"/>
        <v>79.5</v>
      </c>
      <c r="I9" s="53" t="str" cm="1">
        <f t="array" ref="I9">_xlfn.IFS(H9&gt;=81,"A",H9&gt;71,"B",H9&gt;61,"C",H9&lt;60,"D")</f>
        <v>B</v>
      </c>
      <c r="J9" s="54">
        <f t="shared" si="1"/>
        <v>6</v>
      </c>
      <c r="K9" s="54" t="str" cm="1">
        <f t="array" ref="K9">_xlfn.IFS(AND(F9&gt;80,G9&gt;85),"IPA",AND(E9&gt;80,D9&gt;80),"Bahasa",TRUE,"IPS")</f>
        <v>IPS</v>
      </c>
      <c r="M9" s="41" t="s">
        <v>74</v>
      </c>
      <c r="N9" s="56" t="s">
        <v>75</v>
      </c>
    </row>
    <row r="10" s="25" customFormat="1" ht="17.75" spans="2:14">
      <c r="B10" s="41">
        <v>3</v>
      </c>
      <c r="C10" s="42" t="s">
        <v>76</v>
      </c>
      <c r="D10" s="43">
        <v>83</v>
      </c>
      <c r="E10" s="43">
        <v>90</v>
      </c>
      <c r="F10" s="43">
        <v>94</v>
      </c>
      <c r="G10" s="43">
        <v>80</v>
      </c>
      <c r="H10" s="40">
        <f t="shared" si="0"/>
        <v>86.75</v>
      </c>
      <c r="I10" s="53" t="str" cm="1">
        <f t="array" ref="I10">_xlfn.IFS(H10&gt;=81,"A",H10&gt;71,"B",H10&gt;61,"C",H10&lt;60,"D")</f>
        <v>A</v>
      </c>
      <c r="J10" s="54">
        <f t="shared" si="1"/>
        <v>2</v>
      </c>
      <c r="K10" s="54" t="str" cm="1">
        <f t="array" ref="K10">_xlfn.IFS(AND(F10&gt;80,G10&gt;85),"IPA",AND(E10&gt;80,D10&gt;80),"Bahasa",TRUE,"IPS")</f>
        <v>Bahasa</v>
      </c>
      <c r="M10" s="41" t="s">
        <v>77</v>
      </c>
      <c r="N10" s="56" t="s">
        <v>78</v>
      </c>
    </row>
    <row r="11" s="25" customFormat="1" ht="17.75" spans="2:14">
      <c r="B11" s="41">
        <v>4</v>
      </c>
      <c r="C11" s="42" t="s">
        <v>79</v>
      </c>
      <c r="D11" s="43">
        <v>75</v>
      </c>
      <c r="E11" s="43">
        <v>64</v>
      </c>
      <c r="F11" s="43">
        <v>70</v>
      </c>
      <c r="G11" s="43">
        <v>56</v>
      </c>
      <c r="H11" s="40">
        <f t="shared" si="0"/>
        <v>66.25</v>
      </c>
      <c r="I11" s="53" t="str" cm="1">
        <f t="array" ref="I11">_xlfn.IFS(H11&gt;=81,"A",H11&gt;71,"B",H11&gt;61,"C",H11&lt;60,"D")</f>
        <v>C</v>
      </c>
      <c r="J11" s="54">
        <f t="shared" si="1"/>
        <v>10</v>
      </c>
      <c r="K11" s="54" t="str" cm="1">
        <f t="array" ref="K11">_xlfn.IFS(AND(F11&gt;80,G11&gt;85),"IPA",AND(E11&gt;80,D11&gt;80),"Bahasa",TRUE,"IPS")</f>
        <v>IPS</v>
      </c>
      <c r="M11" s="44" t="s">
        <v>80</v>
      </c>
      <c r="N11" s="57" t="s">
        <v>81</v>
      </c>
    </row>
    <row r="12" s="25" customFormat="1" ht="17.75" spans="2:11">
      <c r="B12" s="41">
        <v>5</v>
      </c>
      <c r="C12" s="42" t="s">
        <v>82</v>
      </c>
      <c r="D12" s="43">
        <v>76</v>
      </c>
      <c r="E12" s="43">
        <v>79</v>
      </c>
      <c r="F12" s="43">
        <v>69</v>
      </c>
      <c r="G12" s="43">
        <v>67</v>
      </c>
      <c r="H12" s="40">
        <f t="shared" si="0"/>
        <v>72.75</v>
      </c>
      <c r="I12" s="53" t="str" cm="1">
        <f t="array" ref="I12">_xlfn.IFS(H12&gt;=81,"A",H12&gt;71,"B",H12&gt;61,"C",H12&lt;60,"D")</f>
        <v>B</v>
      </c>
      <c r="J12" s="54">
        <f t="shared" si="1"/>
        <v>7</v>
      </c>
      <c r="K12" s="54" t="str" cm="1">
        <f t="array" ref="K12">_xlfn.IFS(AND(F12&gt;80,G12&gt;85),"IPA",AND(E12&gt;80,D12&gt;80),"Bahasa",TRUE,"IPS")</f>
        <v>IPS</v>
      </c>
    </row>
    <row r="13" s="25" customFormat="1" ht="17.75" spans="2:11">
      <c r="B13" s="41">
        <v>6</v>
      </c>
      <c r="C13" s="42" t="s">
        <v>83</v>
      </c>
      <c r="D13" s="43">
        <v>85</v>
      </c>
      <c r="E13" s="43">
        <v>90</v>
      </c>
      <c r="F13" s="43">
        <v>80</v>
      </c>
      <c r="G13" s="43">
        <v>86</v>
      </c>
      <c r="H13" s="40">
        <f t="shared" si="0"/>
        <v>85.25</v>
      </c>
      <c r="I13" s="53" t="str" cm="1">
        <f t="array" ref="I13">_xlfn.IFS(H13&gt;=81,"A",H13&gt;71,"B",H13&gt;61,"C",H13&lt;60,"D")</f>
        <v>A</v>
      </c>
      <c r="J13" s="54">
        <f t="shared" si="1"/>
        <v>3</v>
      </c>
      <c r="K13" s="54" t="str" cm="1">
        <f t="array" ref="K13">_xlfn.IFS(AND(F13&gt;80,G13&gt;85),"IPA",AND(E13&gt;80,D13&gt;80),"Bahasa",TRUE,"IPS")</f>
        <v>Bahasa</v>
      </c>
    </row>
    <row r="14" s="25" customFormat="1" ht="17.75" spans="2:11">
      <c r="B14" s="41">
        <v>7</v>
      </c>
      <c r="C14" s="42" t="s">
        <v>84</v>
      </c>
      <c r="D14" s="43">
        <v>65</v>
      </c>
      <c r="E14" s="43">
        <v>83</v>
      </c>
      <c r="F14" s="43">
        <v>68</v>
      </c>
      <c r="G14" s="43">
        <v>68</v>
      </c>
      <c r="H14" s="40">
        <f t="shared" si="0"/>
        <v>71</v>
      </c>
      <c r="I14" s="53" t="str" cm="1">
        <f t="array" ref="I14">_xlfn.IFS(H14&gt;=81,"A",H14&gt;71,"B",H14&gt;61,"C",H14&lt;60,"D")</f>
        <v>C</v>
      </c>
      <c r="J14" s="54">
        <f t="shared" si="1"/>
        <v>8</v>
      </c>
      <c r="K14" s="54" t="str" cm="1">
        <f t="array" ref="K14">_xlfn.IFS(AND(F14&gt;80,G14&gt;85),"IPA",AND(E14&gt;80,D14&gt;80),"Bahasa",TRUE,"IPS")</f>
        <v>IPS</v>
      </c>
    </row>
    <row r="15" s="25" customFormat="1" ht="17.75" spans="2:11">
      <c r="B15" s="41">
        <v>8</v>
      </c>
      <c r="C15" s="42" t="s">
        <v>85</v>
      </c>
      <c r="D15" s="43">
        <v>65</v>
      </c>
      <c r="E15" s="43">
        <v>70</v>
      </c>
      <c r="F15" s="43">
        <v>65</v>
      </c>
      <c r="G15" s="43">
        <v>78</v>
      </c>
      <c r="H15" s="40">
        <f t="shared" si="0"/>
        <v>69.5</v>
      </c>
      <c r="I15" s="53" t="str" cm="1">
        <f t="array" ref="I15">_xlfn.IFS(H15&gt;=81,"A",H15&gt;71,"B",H15&gt;61,"C",H15&lt;60,"D")</f>
        <v>C</v>
      </c>
      <c r="J15" s="54">
        <f t="shared" si="1"/>
        <v>9</v>
      </c>
      <c r="K15" s="54" t="str" cm="1">
        <f t="array" ref="K15">_xlfn.IFS(AND(F15&gt;80,G15&gt;85),"IPA",AND(E15&gt;80,D15&gt;80),"Bahasa",TRUE,"IPS")</f>
        <v>IPS</v>
      </c>
    </row>
    <row r="16" s="25" customFormat="1" ht="17.75" spans="2:11">
      <c r="B16" s="41">
        <v>9</v>
      </c>
      <c r="C16" s="42" t="s">
        <v>86</v>
      </c>
      <c r="D16" s="43">
        <v>84</v>
      </c>
      <c r="E16" s="43">
        <v>80</v>
      </c>
      <c r="F16" s="43">
        <v>80</v>
      </c>
      <c r="G16" s="43">
        <v>80</v>
      </c>
      <c r="H16" s="40">
        <f t="shared" si="0"/>
        <v>81</v>
      </c>
      <c r="I16" s="53" t="str" cm="1">
        <f t="array" ref="I16">_xlfn.IFS(H16&gt;=81,"A",H16&gt;71,"B",H16&gt;61,"C",H16&lt;60,"D")</f>
        <v>A</v>
      </c>
      <c r="J16" s="54">
        <f t="shared" si="1"/>
        <v>5</v>
      </c>
      <c r="K16" s="54" t="str" cm="1">
        <f t="array" ref="K16">_xlfn.IFS(AND(F16&gt;80,G16&gt;85),"IPA",AND(E16&gt;80,D16&gt;80),"Bahasa",TRUE,"IPS")</f>
        <v>IPS</v>
      </c>
    </row>
    <row r="17" s="25" customFormat="1" ht="17.75" spans="2:11">
      <c r="B17" s="44">
        <v>10</v>
      </c>
      <c r="C17" s="35" t="s">
        <v>87</v>
      </c>
      <c r="D17" s="45">
        <v>90</v>
      </c>
      <c r="E17" s="45">
        <v>95</v>
      </c>
      <c r="F17" s="45">
        <v>94</v>
      </c>
      <c r="G17" s="45">
        <v>90</v>
      </c>
      <c r="H17" s="40">
        <f t="shared" si="0"/>
        <v>92.25</v>
      </c>
      <c r="I17" s="53" t="str" cm="1">
        <f t="array" ref="I17">_xlfn.IFS(H17&gt;=81,"A",H17&gt;71,"B",H17&gt;61,"C",H17&lt;60,"D")</f>
        <v>A</v>
      </c>
      <c r="J17" s="54">
        <f t="shared" si="1"/>
        <v>1</v>
      </c>
      <c r="K17" s="54" t="str" cm="1">
        <f t="array" ref="K17">_xlfn.IFS(AND(F17&gt;80,G17&gt;85),"IPA",AND(E17&gt;80,D17&gt;80),"Bahasa",TRUE,"IPS")</f>
        <v>IPA</v>
      </c>
    </row>
    <row r="19" s="25" customFormat="1" spans="2:2">
      <c r="B19" s="25" t="s">
        <v>88</v>
      </c>
    </row>
    <row r="20" s="25" customFormat="1" spans="2:2">
      <c r="B20" s="25" t="s">
        <v>89</v>
      </c>
    </row>
    <row r="21" s="25" customFormat="1" spans="2:2">
      <c r="B21" s="25" t="s">
        <v>90</v>
      </c>
    </row>
    <row r="22" s="25" customFormat="1" spans="2:2">
      <c r="B22" s="25" t="s">
        <v>91</v>
      </c>
    </row>
    <row r="23" s="25" customFormat="1" spans="2:2">
      <c r="B23" s="25" t="s">
        <v>92</v>
      </c>
    </row>
    <row r="24" s="25" customFormat="1" spans="2:2">
      <c r="B24" s="66" t="s">
        <v>93</v>
      </c>
    </row>
    <row r="25" s="25" customFormat="1" spans="2:2">
      <c r="B25" s="66" t="s">
        <v>94</v>
      </c>
    </row>
    <row r="26" s="25" customFormat="1" spans="2:2">
      <c r="B26" s="66" t="s">
        <v>95</v>
      </c>
    </row>
  </sheetData>
  <mergeCells count="1">
    <mergeCell ref="K6:K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"/>
  <sheetViews>
    <sheetView zoomScale="54" zoomScaleNormal="54" workbookViewId="0">
      <selection activeCell="J6" sqref="J6"/>
    </sheetView>
  </sheetViews>
  <sheetFormatPr defaultColWidth="9.18181818181818" defaultRowHeight="12.5"/>
  <cols>
    <col min="1" max="1" width="9.18181818181818" style="3"/>
    <col min="2" max="2" width="15.5454545454545" style="3" customWidth="1"/>
    <col min="3" max="3" width="18.7272727272727" style="3" customWidth="1"/>
    <col min="4" max="4" width="12.5454545454545" style="3" customWidth="1"/>
    <col min="5" max="6" width="12.8181818181818" style="3" customWidth="1"/>
    <col min="7" max="7" width="17.7272727272727" style="3" customWidth="1"/>
    <col min="8" max="8" width="17.1818181818182" style="3" customWidth="1"/>
    <col min="9" max="9" width="11.8181818181818" style="3" customWidth="1"/>
    <col min="10" max="10" width="14.5454545454545" style="3" customWidth="1"/>
    <col min="11" max="12" width="14.4545454545455" style="3" customWidth="1"/>
    <col min="13" max="16384" width="9.18181818181818" style="3"/>
  </cols>
  <sheetData>
    <row r="1" s="1" customFormat="1" ht="18" spans="1:1">
      <c r="A1" s="1" t="s">
        <v>96</v>
      </c>
    </row>
    <row r="3" s="2" customFormat="1" ht="14" spans="1:1">
      <c r="A3" s="5" t="s">
        <v>97</v>
      </c>
    </row>
    <row r="4" s="3" customFormat="1" ht="22.5" customHeight="1" spans="1:3">
      <c r="A4" s="6" t="s">
        <v>98</v>
      </c>
      <c r="B4" s="6"/>
      <c r="C4" s="7">
        <v>44594</v>
      </c>
    </row>
    <row r="5" s="4" customFormat="1" ht="37.5" customHeight="1" spans="1:12">
      <c r="A5" s="8" t="s">
        <v>0</v>
      </c>
      <c r="B5" s="8" t="s">
        <v>99</v>
      </c>
      <c r="C5" s="8" t="s">
        <v>100</v>
      </c>
      <c r="D5" s="9" t="s">
        <v>101</v>
      </c>
      <c r="E5" s="9" t="s">
        <v>102</v>
      </c>
      <c r="F5" s="9" t="s">
        <v>103</v>
      </c>
      <c r="G5" s="8" t="s">
        <v>104</v>
      </c>
      <c r="H5" s="8" t="s">
        <v>105</v>
      </c>
      <c r="I5" s="8" t="s">
        <v>106</v>
      </c>
      <c r="J5" s="8" t="s">
        <v>107</v>
      </c>
      <c r="K5" s="19">
        <v>0.1</v>
      </c>
      <c r="L5" s="19" t="s">
        <v>108</v>
      </c>
    </row>
    <row r="6" s="3" customFormat="1" ht="16.5" customHeight="1" spans="1:12">
      <c r="A6" s="10">
        <v>1</v>
      </c>
      <c r="B6" s="11" t="str">
        <f>'[2]Studi Kasus 2 Jumat Soal 1'!B5</f>
        <v>Puri Dewi Dewi</v>
      </c>
      <c r="C6" s="12">
        <v>44585</v>
      </c>
      <c r="D6" s="10" t="s">
        <v>109</v>
      </c>
      <c r="E6" s="10" t="str">
        <f t="shared" ref="E6:E16" si="0">VLOOKUP(LEFT(TRIM(D6),1),$A$20:$B$22,2,FALSE)</f>
        <v>VIP</v>
      </c>
      <c r="F6" s="10" t="str">
        <f t="shared" ref="F6:F16" si="1">MID(D6,3,2)</f>
        <v>01</v>
      </c>
      <c r="G6" s="10" t="str">
        <f t="shared" ref="G6:G16" si="2">VLOOKUP(RIGHT(TRIM(D6),1),$D$20:$E$22,2,FALSE)</f>
        <v>Mawar</v>
      </c>
      <c r="H6" s="13">
        <f>VLOOKUP(G6,_xlfn.IFS(E6="VIP",VIP,E6="Bisnis",BISNIS,E6="Ekonomi",EKONOMI,TRUE,0),3,FALSE)</f>
        <v>225000</v>
      </c>
      <c r="I6" s="10">
        <f>DATEDIF(C6,$C$4,"D")</f>
        <v>9</v>
      </c>
      <c r="J6" s="20">
        <f>VLOOKUP(G6,_xlfn.IFS(E6="VIP",kolomvip,E6="Bisnis",kolombisnis,E6="Ekonomi",kolomekonomi),4,FALSE)*H6*IF(I6&gt;10,I6-10,0)</f>
        <v>0</v>
      </c>
      <c r="K6" s="21">
        <f t="shared" ref="K6:K16" si="3">H6*I6-J6</f>
        <v>2025000</v>
      </c>
      <c r="L6" s="21">
        <f t="shared" ref="L6:L16" si="4">H6*I6-J6+K6</f>
        <v>4050000</v>
      </c>
    </row>
    <row r="7" s="3" customFormat="1" ht="16.5" customHeight="1" spans="1:12">
      <c r="A7" s="10">
        <v>2</v>
      </c>
      <c r="B7" s="11" t="str">
        <f>'[2]Studi Kasus 2 Jumat Soal 1'!B6</f>
        <v>Fike Nurjannah</v>
      </c>
      <c r="C7" s="12">
        <v>44581</v>
      </c>
      <c r="D7" s="10" t="s">
        <v>110</v>
      </c>
      <c r="E7" s="10" t="str">
        <f t="shared" si="0"/>
        <v>VIP</v>
      </c>
      <c r="F7" s="10" t="str">
        <f t="shared" si="1"/>
        <v>02</v>
      </c>
      <c r="G7" s="10" t="str">
        <f t="shared" si="2"/>
        <v>Anggrek</v>
      </c>
      <c r="H7" s="13">
        <f>VLOOKUP(G7,_xlfn.IFS(E7="VIP",VIP,E7="Bisnis",BISNIS,E7="Ekonomi",EKONOMI,TRUE,0),3,FALSE)</f>
        <v>200000</v>
      </c>
      <c r="I7" s="10">
        <f>DATEDIF(C7,$C$4,"D")</f>
        <v>13</v>
      </c>
      <c r="J7" s="20">
        <f>VLOOKUP(G7,_xlfn.IFS(E7="VIP",kolomvip,E7="Bisnis",kolombisnis,E7="Ekonomi",kolomekonomi),4,FALSE)*H7*IF(I7&gt;10,I7-10,0)</f>
        <v>30000</v>
      </c>
      <c r="K7" s="21">
        <f t="shared" si="3"/>
        <v>2570000</v>
      </c>
      <c r="L7" s="21">
        <f t="shared" si="4"/>
        <v>5140000</v>
      </c>
    </row>
    <row r="8" s="3" customFormat="1" ht="16.5" customHeight="1" spans="1:12">
      <c r="A8" s="10">
        <v>3</v>
      </c>
      <c r="B8" s="11" t="str">
        <f>'[2]Studi Kasus 2 Jumat Soal 1'!B7</f>
        <v>Namirah Hadrah</v>
      </c>
      <c r="C8" s="12">
        <v>44589</v>
      </c>
      <c r="D8" s="10" t="s">
        <v>111</v>
      </c>
      <c r="E8" s="10" t="str">
        <f t="shared" si="0"/>
        <v>VIP</v>
      </c>
      <c r="F8" s="10" t="str">
        <f t="shared" si="1"/>
        <v>03</v>
      </c>
      <c r="G8" s="10" t="str">
        <f t="shared" si="2"/>
        <v>Cempaka</v>
      </c>
      <c r="H8" s="13">
        <f>VLOOKUP(G8,_xlfn.IFS(E8="VIP",VIP,E8="Bisnis",BISNIS,E8="Ekonomi",EKONOMI,TRUE,0),3,FALSE)</f>
        <v>175000</v>
      </c>
      <c r="I8" s="10">
        <f>DATEDIF(C8,$C$4,"D")</f>
        <v>5</v>
      </c>
      <c r="J8" s="20">
        <f>VLOOKUP(G8,_xlfn.IFS(E8="VIP",kolomvip,E8="Bisnis",kolombisnis,E8="Ekonomi",kolomekonomi),4,FALSE)*H8*IF(I8&gt;10,I8-10,0)</f>
        <v>0</v>
      </c>
      <c r="K8" s="21">
        <f t="shared" si="3"/>
        <v>875000</v>
      </c>
      <c r="L8" s="21">
        <f t="shared" si="4"/>
        <v>1750000</v>
      </c>
    </row>
    <row r="9" s="3" customFormat="1" ht="16.5" customHeight="1" spans="1:12">
      <c r="A9" s="10">
        <v>4</v>
      </c>
      <c r="B9" s="11" t="str">
        <f>'[2]Studi Kasus 2 Jumat Soal 1'!B8</f>
        <v>Giganda Saputri</v>
      </c>
      <c r="C9" s="12">
        <v>44566</v>
      </c>
      <c r="D9" s="10" t="s">
        <v>112</v>
      </c>
      <c r="E9" s="10" t="str">
        <f t="shared" si="0"/>
        <v>Bisnis</v>
      </c>
      <c r="F9" s="10" t="str">
        <f t="shared" si="1"/>
        <v>04</v>
      </c>
      <c r="G9" s="10" t="str">
        <f t="shared" si="2"/>
        <v>Anggrek</v>
      </c>
      <c r="H9" s="13">
        <f>VLOOKUP(G9,_xlfn.IFS(E9="VIP",VIP,E9="Bisnis",BISNIS,E9="Ekonomi",EKONOMI,TRUE,0),3,FALSE)</f>
        <v>175000</v>
      </c>
      <c r="I9" s="10">
        <f>DATEDIF(C9,$C$4,"D")</f>
        <v>28</v>
      </c>
      <c r="J9" s="20">
        <f>VLOOKUP(G9,_xlfn.IFS(E9="VIP",kolomvip,E9="Bisnis",kolombisnis,E9="Ekonomi",kolomekonomi),4,FALSE)*H9*IF(I9&gt;10,I9-10,0)</f>
        <v>63000</v>
      </c>
      <c r="K9" s="21">
        <f t="shared" si="3"/>
        <v>4837000</v>
      </c>
      <c r="L9" s="21">
        <f t="shared" si="4"/>
        <v>9674000</v>
      </c>
    </row>
    <row r="10" s="3" customFormat="1" ht="16.5" customHeight="1" spans="1:12">
      <c r="A10" s="10">
        <v>5</v>
      </c>
      <c r="B10" s="11" t="str">
        <f>'[2]Studi Kasus 2 Jumat Soal 1'!B9</f>
        <v>Alif kamila kabelo</v>
      </c>
      <c r="C10" s="12">
        <v>44568</v>
      </c>
      <c r="D10" s="10" t="s">
        <v>113</v>
      </c>
      <c r="E10" s="10" t="str">
        <f t="shared" si="0"/>
        <v>Bisnis</v>
      </c>
      <c r="F10" s="10" t="str">
        <f t="shared" si="1"/>
        <v>01</v>
      </c>
      <c r="G10" s="10" t="str">
        <f t="shared" si="2"/>
        <v>Cempaka</v>
      </c>
      <c r="H10" s="13">
        <f>VLOOKUP(G10,_xlfn.IFS(E10="VIP",VIP,E10="Bisnis",BISNIS,E10="Ekonomi",EKONOMI,TRUE,0),3,FALSE)</f>
        <v>150000</v>
      </c>
      <c r="I10" s="10">
        <f>DATEDIF(C10,$C$4,"D")</f>
        <v>26</v>
      </c>
      <c r="J10" s="20">
        <f>VLOOKUP(G10,_xlfn.IFS(E10="VIP",kolomvip,E10="Bisnis",kolombisnis,E10="Ekonomi",kolomekonomi),4,FALSE)*H10*IF(I10&gt;10,I10-10,0)</f>
        <v>24000</v>
      </c>
      <c r="K10" s="21">
        <f t="shared" si="3"/>
        <v>3876000</v>
      </c>
      <c r="L10" s="21">
        <f t="shared" si="4"/>
        <v>7752000</v>
      </c>
    </row>
    <row r="11" s="3" customFormat="1" ht="16.5" customHeight="1" spans="1:12">
      <c r="A11" s="10">
        <v>6</v>
      </c>
      <c r="B11" s="11" t="str">
        <f>'[2]Studi Kasus 2 Jumat Soal 1'!B10</f>
        <v>Rudi Tabuti</v>
      </c>
      <c r="C11" s="12">
        <v>44593</v>
      </c>
      <c r="D11" s="10" t="s">
        <v>114</v>
      </c>
      <c r="E11" s="10" t="str">
        <f t="shared" si="0"/>
        <v>Ekonomi</v>
      </c>
      <c r="F11" s="10" t="str">
        <f t="shared" si="1"/>
        <v>01</v>
      </c>
      <c r="G11" s="10" t="str">
        <f t="shared" si="2"/>
        <v>Cempaka</v>
      </c>
      <c r="H11" s="13">
        <f>VLOOKUP(G11,_xlfn.IFS(E11="VIP",VIP,E11="Bisnis",BISNIS,E11="Ekonomi",EKONOMI,TRUE,0),3,FALSE)</f>
        <v>125000</v>
      </c>
      <c r="I11" s="10">
        <f>DATEDIF(C11,$C$4,"D")</f>
        <v>1</v>
      </c>
      <c r="J11" s="20">
        <f>VLOOKUP(G11,_xlfn.IFS(E11="VIP",kolomvip,E11="Bisnis",kolombisnis,E11="Ekonomi",kolomekonomi),4,FALSE)*H11*IF(I11&gt;10,I11-10,0)</f>
        <v>0</v>
      </c>
      <c r="K11" s="21">
        <f t="shared" si="3"/>
        <v>125000</v>
      </c>
      <c r="L11" s="21">
        <f t="shared" si="4"/>
        <v>250000</v>
      </c>
    </row>
    <row r="12" s="3" customFormat="1" ht="16.5" customHeight="1" spans="1:15">
      <c r="A12" s="10">
        <v>7</v>
      </c>
      <c r="B12" s="11" t="str">
        <f>'[2]Studi Kasus 2 Jumat Soal 1'!B11</f>
        <v>Ilham Dari Langit</v>
      </c>
      <c r="C12" s="12">
        <v>44575</v>
      </c>
      <c r="D12" s="10" t="s">
        <v>115</v>
      </c>
      <c r="E12" s="10" t="str">
        <f t="shared" si="0"/>
        <v>Ekonomi</v>
      </c>
      <c r="F12" s="10" t="str">
        <f t="shared" si="1"/>
        <v>02</v>
      </c>
      <c r="G12" s="10" t="str">
        <f t="shared" si="2"/>
        <v>Cempaka</v>
      </c>
      <c r="H12" s="13">
        <f>VLOOKUP(G12,_xlfn.IFS(E12="VIP",VIP,E12="Bisnis",BISNIS,E12="Ekonomi",EKONOMI,TRUE,0),3,FALSE)</f>
        <v>125000</v>
      </c>
      <c r="I12" s="10">
        <f>DATEDIF(C12,$C$4,"D")</f>
        <v>19</v>
      </c>
      <c r="J12" s="20">
        <f>VLOOKUP(G12,_xlfn.IFS(E12="VIP",kolomvip,E12="Bisnis",kolombisnis,E12="Ekonomi",kolomekonomi),4,FALSE)*H12*IF(I12&gt;10,I12-10,0)</f>
        <v>0</v>
      </c>
      <c r="K12" s="21">
        <f t="shared" si="3"/>
        <v>2375000</v>
      </c>
      <c r="L12" s="21">
        <f t="shared" si="4"/>
        <v>4750000</v>
      </c>
      <c r="O12" s="22"/>
    </row>
    <row r="13" s="3" customFormat="1" ht="16.5" customHeight="1" spans="1:12">
      <c r="A13" s="10">
        <v>8</v>
      </c>
      <c r="B13" s="11" t="str">
        <f>'[2]Studi Kasus 2 Jumat Soal 1'!B12</f>
        <v>Aries Hutang Budi Prasetya</v>
      </c>
      <c r="C13" s="12">
        <v>44579</v>
      </c>
      <c r="D13" s="10" t="s">
        <v>116</v>
      </c>
      <c r="E13" s="10" t="str">
        <f t="shared" si="0"/>
        <v>Ekonomi</v>
      </c>
      <c r="F13" s="10" t="str">
        <f t="shared" si="1"/>
        <v>03</v>
      </c>
      <c r="G13" s="10" t="str">
        <f t="shared" si="2"/>
        <v>Anggrek</v>
      </c>
      <c r="H13" s="13">
        <f>VLOOKUP(G13,_xlfn.IFS(E13="VIP",VIP,E13="Bisnis",BISNIS,E13="Ekonomi",EKONOMI,TRUE,0),3,FALSE)</f>
        <v>150000</v>
      </c>
      <c r="I13" s="10">
        <f>DATEDIF(C13,$C$4,"D")</f>
        <v>15</v>
      </c>
      <c r="J13" s="20">
        <f>VLOOKUP(G13,_xlfn.IFS(E13="VIP",kolomvip,E13="Bisnis",kolombisnis,E13="Ekonomi",kolomekonomi),4,FALSE)*H13*IF(I13&gt;10,I13-10,0)</f>
        <v>7500</v>
      </c>
      <c r="K13" s="21">
        <f t="shared" si="3"/>
        <v>2242500</v>
      </c>
      <c r="L13" s="21">
        <f t="shared" si="4"/>
        <v>4485000</v>
      </c>
    </row>
    <row r="14" s="3" customFormat="1" ht="16.5" customHeight="1" spans="1:12">
      <c r="A14" s="10">
        <v>9</v>
      </c>
      <c r="B14" s="11" t="str">
        <f>'[2]Studi Kasus 2 Jumat Soal 1'!B13</f>
        <v>Zilfa Ashiteru</v>
      </c>
      <c r="C14" s="12">
        <v>44582</v>
      </c>
      <c r="D14" s="10" t="s">
        <v>117</v>
      </c>
      <c r="E14" s="10" t="str">
        <f t="shared" si="0"/>
        <v>Bisnis</v>
      </c>
      <c r="F14" s="10" t="str">
        <f t="shared" si="1"/>
        <v>02</v>
      </c>
      <c r="G14" s="10" t="str">
        <f t="shared" si="2"/>
        <v>Cempaka</v>
      </c>
      <c r="H14" s="13">
        <f>VLOOKUP(G14,_xlfn.IFS(E14="VIP",VIP,E14="Bisnis",BISNIS,E14="Ekonomi",EKONOMI,TRUE,0),3,FALSE)</f>
        <v>150000</v>
      </c>
      <c r="I14" s="10">
        <f>DATEDIF(C14,$C$4,"D")</f>
        <v>12</v>
      </c>
      <c r="J14" s="20">
        <f>VLOOKUP(G14,_xlfn.IFS(E14="VIP",kolomvip,E14="Bisnis",kolombisnis,E14="Ekonomi",kolomekonomi),4,FALSE)*H14*IF(I14&gt;10,I14-10,0)</f>
        <v>3000</v>
      </c>
      <c r="K14" s="21">
        <f t="shared" si="3"/>
        <v>1797000</v>
      </c>
      <c r="L14" s="21">
        <f t="shared" si="4"/>
        <v>3594000</v>
      </c>
    </row>
    <row r="15" s="3" customFormat="1" ht="16.5" customHeight="1" spans="1:12">
      <c r="A15" s="10">
        <v>10</v>
      </c>
      <c r="B15" s="11" t="str">
        <f>'[2]Studi Kasus 2 Jumat Soal 1'!B14</f>
        <v>Nicholas Sapulidi</v>
      </c>
      <c r="C15" s="12">
        <v>44587</v>
      </c>
      <c r="D15" s="10" t="s">
        <v>118</v>
      </c>
      <c r="E15" s="10" t="str">
        <f t="shared" si="0"/>
        <v>Bisnis</v>
      </c>
      <c r="F15" s="10" t="str">
        <f t="shared" si="1"/>
        <v>03</v>
      </c>
      <c r="G15" s="10" t="str">
        <f t="shared" si="2"/>
        <v>Mawar</v>
      </c>
      <c r="H15" s="13">
        <f>VLOOKUP(G15,_xlfn.IFS(E15="VIP",VIP,E15="Bisnis",BISNIS,E15="Ekonomi",EKONOMI,TRUE,0),3,FALSE)</f>
        <v>200000</v>
      </c>
      <c r="I15" s="10">
        <f>DATEDIF(C15,$C$4,"D")</f>
        <v>7</v>
      </c>
      <c r="J15" s="20">
        <f>VLOOKUP(G15,_xlfn.IFS(E15="VIP",kolomvip,E15="Bisnis",kolombisnis,E15="Ekonomi",kolomekonomi),4,FALSE)*H15*IF(I15&gt;10,I15-10,0)</f>
        <v>0</v>
      </c>
      <c r="K15" s="21">
        <f t="shared" si="3"/>
        <v>1400000</v>
      </c>
      <c r="L15" s="21">
        <f t="shared" si="4"/>
        <v>2800000</v>
      </c>
    </row>
    <row r="16" s="3" customFormat="1" ht="16.5" customHeight="1" spans="1:12">
      <c r="A16" s="10">
        <v>11</v>
      </c>
      <c r="B16" s="11" t="str">
        <f>'[2]Studi Kasus 2 Jumat Soal 1'!B15</f>
        <v>Ayu Tuing Tuing</v>
      </c>
      <c r="C16" s="12">
        <v>44590</v>
      </c>
      <c r="D16" s="10" t="s">
        <v>119</v>
      </c>
      <c r="E16" s="10" t="str">
        <f t="shared" si="0"/>
        <v>VIP</v>
      </c>
      <c r="F16" s="10" t="str">
        <f t="shared" si="1"/>
        <v>04</v>
      </c>
      <c r="G16" s="10" t="str">
        <f t="shared" si="2"/>
        <v>Mawar</v>
      </c>
      <c r="H16" s="13">
        <f>VLOOKUP(G16,_xlfn.IFS(E16="VIP",VIP,E16="Bisnis",BISNIS,E16="Ekonomi",EKONOMI,TRUE,0),3,FALSE)</f>
        <v>225000</v>
      </c>
      <c r="I16" s="10">
        <f>DATEDIF(C16,$C$4,"D")</f>
        <v>4</v>
      </c>
      <c r="J16" s="20">
        <f>VLOOKUP(G16,_xlfn.IFS(E16="VIP",kolomvip,E16="Bisnis",kolombisnis,E16="Ekonomi",kolomekonomi),4,FALSE)*H16*IF(I16&gt;10,I16-10,0)</f>
        <v>0</v>
      </c>
      <c r="K16" s="21">
        <f t="shared" si="3"/>
        <v>900000</v>
      </c>
      <c r="L16" s="21">
        <f t="shared" si="4"/>
        <v>1800000</v>
      </c>
    </row>
    <row r="18" s="3" customFormat="1" ht="13" spans="1:7">
      <c r="A18" s="14" t="s">
        <v>120</v>
      </c>
      <c r="D18" s="14" t="s">
        <v>121</v>
      </c>
      <c r="G18" s="14" t="s">
        <v>122</v>
      </c>
    </row>
    <row r="19" s="3" customFormat="1" ht="18.75" customHeight="1" spans="1:10">
      <c r="A19" s="8" t="s">
        <v>123</v>
      </c>
      <c r="B19" s="8" t="s">
        <v>102</v>
      </c>
      <c r="D19" s="8" t="s">
        <v>123</v>
      </c>
      <c r="E19" s="8" t="s">
        <v>104</v>
      </c>
      <c r="G19" s="8" t="s">
        <v>104</v>
      </c>
      <c r="H19" s="8" t="s">
        <v>102</v>
      </c>
      <c r="I19" s="8" t="s">
        <v>105</v>
      </c>
      <c r="J19" s="8" t="s">
        <v>107</v>
      </c>
    </row>
    <row r="20" s="3" customFormat="1" spans="1:10">
      <c r="A20" s="10" t="s">
        <v>124</v>
      </c>
      <c r="B20" s="10" t="s">
        <v>125</v>
      </c>
      <c r="D20" s="10" t="s">
        <v>126</v>
      </c>
      <c r="E20" s="10" t="s">
        <v>127</v>
      </c>
      <c r="G20" s="15" t="s">
        <v>127</v>
      </c>
      <c r="H20" s="16" t="s">
        <v>125</v>
      </c>
      <c r="I20" s="23">
        <v>225000</v>
      </c>
      <c r="J20" s="24">
        <v>0.1</v>
      </c>
    </row>
    <row r="21" s="3" customFormat="1" spans="1:10">
      <c r="A21" s="10" t="s">
        <v>78</v>
      </c>
      <c r="B21" s="10" t="s">
        <v>128</v>
      </c>
      <c r="D21" s="10" t="s">
        <v>81</v>
      </c>
      <c r="E21" s="10" t="s">
        <v>129</v>
      </c>
      <c r="G21" s="15" t="s">
        <v>129</v>
      </c>
      <c r="H21" s="17"/>
      <c r="I21" s="23">
        <v>200000</v>
      </c>
      <c r="J21" s="24">
        <v>0.05</v>
      </c>
    </row>
    <row r="22" s="3" customFormat="1" spans="1:10">
      <c r="A22" s="10" t="s">
        <v>130</v>
      </c>
      <c r="B22" s="10" t="s">
        <v>131</v>
      </c>
      <c r="D22" s="10" t="s">
        <v>75</v>
      </c>
      <c r="E22" s="10" t="s">
        <v>132</v>
      </c>
      <c r="G22" s="15" t="s">
        <v>132</v>
      </c>
      <c r="H22" s="18"/>
      <c r="I22" s="23">
        <v>175000</v>
      </c>
      <c r="J22" s="24">
        <v>0.03</v>
      </c>
    </row>
    <row r="23" s="3" customFormat="1" spans="7:10">
      <c r="G23" s="15" t="s">
        <v>127</v>
      </c>
      <c r="H23" s="16" t="s">
        <v>128</v>
      </c>
      <c r="I23" s="23">
        <v>200000</v>
      </c>
      <c r="J23" s="24">
        <v>0.03</v>
      </c>
    </row>
    <row r="24" s="3" customFormat="1" spans="7:10">
      <c r="G24" s="15" t="s">
        <v>129</v>
      </c>
      <c r="H24" s="17"/>
      <c r="I24" s="23">
        <v>175000</v>
      </c>
      <c r="J24" s="24">
        <v>0.02</v>
      </c>
    </row>
    <row r="25" s="3" customFormat="1" spans="7:10">
      <c r="G25" s="15" t="s">
        <v>132</v>
      </c>
      <c r="H25" s="18"/>
      <c r="I25" s="23">
        <v>150000</v>
      </c>
      <c r="J25" s="24">
        <v>0.01</v>
      </c>
    </row>
    <row r="26" s="3" customFormat="1" spans="7:10">
      <c r="G26" s="15" t="s">
        <v>127</v>
      </c>
      <c r="H26" s="16" t="s">
        <v>131</v>
      </c>
      <c r="I26" s="23">
        <v>175000</v>
      </c>
      <c r="J26" s="24">
        <v>0.02</v>
      </c>
    </row>
    <row r="27" s="3" customFormat="1" spans="7:10">
      <c r="G27" s="15" t="s">
        <v>129</v>
      </c>
      <c r="H27" s="17"/>
      <c r="I27" s="23">
        <v>150000</v>
      </c>
      <c r="J27" s="24">
        <v>0.01</v>
      </c>
    </row>
    <row r="28" s="3" customFormat="1" spans="7:10">
      <c r="G28" s="15" t="s">
        <v>132</v>
      </c>
      <c r="H28" s="18"/>
      <c r="I28" s="23">
        <v>125000</v>
      </c>
      <c r="J28" s="24">
        <v>0</v>
      </c>
    </row>
    <row r="29" s="3" customFormat="1" spans="1:1">
      <c r="A29" s="3" t="s">
        <v>133</v>
      </c>
    </row>
    <row r="30" s="3" customFormat="1" spans="1:1">
      <c r="A30" s="3" t="s">
        <v>134</v>
      </c>
    </row>
    <row r="31" s="3" customFormat="1" spans="1:1">
      <c r="A31" s="3" t="s">
        <v>135</v>
      </c>
    </row>
    <row r="32" s="3" customFormat="1" spans="1:1">
      <c r="A32" s="3" t="s">
        <v>136</v>
      </c>
    </row>
    <row r="33" s="3" customFormat="1" spans="1:1">
      <c r="A33" s="3" t="s">
        <v>137</v>
      </c>
    </row>
    <row r="34" s="3" customFormat="1" spans="1:1">
      <c r="A34" s="3" t="s">
        <v>138</v>
      </c>
    </row>
    <row r="35" s="3" customFormat="1" spans="1:1">
      <c r="A35" s="3" t="s">
        <v>139</v>
      </c>
    </row>
    <row r="36" s="3" customFormat="1" spans="1:1">
      <c r="A36" s="3" t="s">
        <v>140</v>
      </c>
    </row>
    <row r="37" s="3" customFormat="1" spans="2:2">
      <c r="B37" s="3" t="s">
        <v>141</v>
      </c>
    </row>
    <row r="38" s="3" customFormat="1" spans="1:1">
      <c r="A38" s="3" t="s">
        <v>142</v>
      </c>
    </row>
    <row r="39" s="3" customFormat="1" spans="1:1">
      <c r="A39" s="3" t="s">
        <v>143</v>
      </c>
    </row>
  </sheetData>
  <mergeCells count="4">
    <mergeCell ref="A4:B4"/>
    <mergeCell ref="H20:H22"/>
    <mergeCell ref="H23:H25"/>
    <mergeCell ref="H26:H2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Sales Data Visualization</vt:lpstr>
      <vt:lpstr>Employee Performance Analysis</vt:lpstr>
      <vt:lpstr>Data Visualization &amp; Practical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SISIBOOK</dc:creator>
  <cp:lastModifiedBy>Bayu Ali</cp:lastModifiedBy>
  <dcterms:created xsi:type="dcterms:W3CDTF">2026-09-15T16:38:00Z</dcterms:created>
  <dcterms:modified xsi:type="dcterms:W3CDTF">2026-09-16T06:07:39Z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A7BB13FB746E47D8B3106467BF8359A3_11</vt:lpwstr>
  </property>
  <property fmtid="{D5CDD505-2E9C-101B-9397-08002B2CF9AE}" pid="3" name="KSOProductBuildVer">
    <vt:lpwstr>2057-12.2.0.23206</vt:lpwstr>
  </property>
</Properties>
</file>