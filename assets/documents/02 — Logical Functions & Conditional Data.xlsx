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 activeTab="2"/>
  </bookViews>
  <sheets>
    <sheet name="Student Grade &amp; Status" sheetId="1" r:id="rId1"/>
    <sheet name="Conditional Calculation" sheetId="2" r:id="rId2"/>
    <sheet name="Customer Benefit Eligibility" sheetId="3" r:id="rId3"/>
  </sheets>
  <externalReferences>
    <externalReference r:id="rId4"/>
    <externalReference r:id="rId5"/>
  </externalReferences>
  <definedNames>
    <definedName name="_gol3">'[2]Studi kasus 2 1 jumat'!$Q$35:$R$39</definedName>
    <definedName name="NATA">[1]Sheet14!$N$9:$P$14</definedName>
    <definedName name="_gol1">'[2]Studi kasus 2 1 jumat'!$N$35:$O$39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<sst xmlns="http://schemas.openxmlformats.org/spreadsheetml/2006/main" count="115" uniqueCount="106">
  <si>
    <t>LATIHAN 3</t>
  </si>
  <si>
    <t xml:space="preserve">LEMBAGA PENDIDIKAN KOMPUTER </t>
  </si>
  <si>
    <t>JS@COMP.COURSE</t>
  </si>
  <si>
    <r>
      <rPr>
        <sz val="10"/>
        <rFont val="Arial"/>
        <charset val="134"/>
      </rPr>
      <t xml:space="preserve">Jl. Raya Kantor Kelurahan Pengasinan No. 08 </t>
    </r>
    <r>
      <rPr>
        <sz val="10"/>
        <rFont val="Wingdings"/>
        <charset val="2"/>
      </rPr>
      <t>)</t>
    </r>
    <r>
      <rPr>
        <sz val="10"/>
        <rFont val="Arial"/>
        <charset val="134"/>
      </rPr>
      <t xml:space="preserve"> 0251 - 8612 825</t>
    </r>
  </si>
  <si>
    <t>DAFTAR HASIL UJIAN KOMPUTER SISWA PERIODE NOP - DES 2008</t>
  </si>
  <si>
    <t>No</t>
  </si>
  <si>
    <t>Nama Siswa</t>
  </si>
  <si>
    <t>NILAI</t>
  </si>
  <si>
    <t>Nilai               Rata-Rata</t>
  </si>
  <si>
    <t>GRADE</t>
  </si>
  <si>
    <t>Keterangan</t>
  </si>
  <si>
    <t>Windows</t>
  </si>
  <si>
    <t>Word</t>
  </si>
  <si>
    <t>Excel</t>
  </si>
  <si>
    <t>Dewi Mentari</t>
  </si>
  <si>
    <t>Arjuna</t>
  </si>
  <si>
    <t>Ruslih</t>
  </si>
  <si>
    <t>Norma Oklana</t>
  </si>
  <si>
    <t>Dwi Sulistyo</t>
  </si>
  <si>
    <t>Atin Supriyatna</t>
  </si>
  <si>
    <t xml:space="preserve">Shaman </t>
  </si>
  <si>
    <t>Asmawi</t>
  </si>
  <si>
    <t>Dion Ariesta</t>
  </si>
  <si>
    <t>Azaz Furqon</t>
  </si>
  <si>
    <t>1.  Carilah nilai rata-rata dengan cara menambahkan nilai (Windows + Word + Excel)/3</t>
  </si>
  <si>
    <t xml:space="preserve">     Atau menggunakan fungsi =Average(range)</t>
  </si>
  <si>
    <t>2.  Formatlah angka nilai rata-rata dalam bentuk tanpa desimal</t>
  </si>
  <si>
    <t>3. Buatlah grade &gt;80=A, &gt;70=B, &gt;60=C, &lt;60=D</t>
  </si>
  <si>
    <t>3.  Isilah keterangan dengan menggunakan fungsi Logika (=IF) dengan ketentuan:</t>
  </si>
  <si>
    <t xml:space="preserve">    a.  Jika Nilai rata-rata &gt;=70 maka dinyatakan "Lulus"</t>
  </si>
  <si>
    <t xml:space="preserve">    b.  Jika Nilai rata-rata &lt;70 maka dinyatakan "Tidak Lulus"</t>
  </si>
  <si>
    <t>4.  Urutkan data berdasarkan nama siswa, secara Ascending</t>
  </si>
  <si>
    <t>Setelah selesai simpanlah dokumen dengan nama file- Tabel 3</t>
  </si>
  <si>
    <t>LATIHAN 5</t>
  </si>
  <si>
    <t>DAFTAR REKENING LISTRIK</t>
  </si>
  <si>
    <t>PERUMAHAN SEMESTA ALAM RAYA</t>
  </si>
  <si>
    <t>BULAN DESEMBER 2008</t>
  </si>
  <si>
    <t>Nama Pelanggan</t>
  </si>
  <si>
    <t>Type</t>
  </si>
  <si>
    <t>Daya</t>
  </si>
  <si>
    <t xml:space="preserve">Biaya </t>
  </si>
  <si>
    <t>Stand</t>
  </si>
  <si>
    <t xml:space="preserve">Stand </t>
  </si>
  <si>
    <t>Biaya /</t>
  </si>
  <si>
    <t>Jumlah</t>
  </si>
  <si>
    <t>Beban</t>
  </si>
  <si>
    <t>Awal</t>
  </si>
  <si>
    <t>Akhir</t>
  </si>
  <si>
    <t>KWH</t>
  </si>
  <si>
    <t>Siti Rofiah</t>
  </si>
  <si>
    <t>1.</t>
  </si>
  <si>
    <t>Daya berdasarkan Type</t>
  </si>
  <si>
    <t>3.  Biaya/KWH berdasarkan Daya</t>
  </si>
  <si>
    <t>Martonah</t>
  </si>
  <si>
    <t>-  Jika Type = 45, maka Daya = 450</t>
  </si>
  <si>
    <t xml:space="preserve">    Jika daya = 450, maka biaya/KWH = 125</t>
  </si>
  <si>
    <t xml:space="preserve">Robby </t>
  </si>
  <si>
    <t>-  Jika Type = 56, maka Daya = 900</t>
  </si>
  <si>
    <t xml:space="preserve">    Jika daya = 900, maka biaya/KWH = 184</t>
  </si>
  <si>
    <t>Hasan Basri</t>
  </si>
  <si>
    <t>-  Jika Type = 70, maka Daya = 1350</t>
  </si>
  <si>
    <t xml:space="preserve">    Jika daya = 1350, maka biaya/KWH = 214</t>
  </si>
  <si>
    <t>Damayanti</t>
  </si>
  <si>
    <t>Linda Ahadan</t>
  </si>
  <si>
    <t>2.</t>
  </si>
  <si>
    <t>Biaya Beban berdasarkan Daya</t>
  </si>
  <si>
    <t>Jenny Tarigan</t>
  </si>
  <si>
    <t>-  Jika Daya = 450, Maka Biaya = 4500</t>
  </si>
  <si>
    <t>Juminten</t>
  </si>
  <si>
    <t>-  Jika Daya = 900, maka Biaya = 14500</t>
  </si>
  <si>
    <t>Heru Lelena</t>
  </si>
  <si>
    <t>-  Jika Daya = 1350, maka Biaya = 27800</t>
  </si>
  <si>
    <t>Solihin GP</t>
  </si>
  <si>
    <t>TOTAL</t>
  </si>
  <si>
    <t>no</t>
  </si>
  <si>
    <t>nama</t>
  </si>
  <si>
    <t>lama sewa</t>
  </si>
  <si>
    <t>total bayar</t>
  </si>
  <si>
    <t>member</t>
  </si>
  <si>
    <t>terlambat (hari)</t>
  </si>
  <si>
    <t>cuci mobil</t>
  </si>
  <si>
    <t>voucher servise</t>
  </si>
  <si>
    <t>harga setelah diskon</t>
  </si>
  <si>
    <t>souvenir</t>
  </si>
  <si>
    <t>prioritas booking</t>
  </si>
  <si>
    <t>upgrade mobil gratis</t>
  </si>
  <si>
    <t>pelanggan teladan</t>
  </si>
  <si>
    <t>andi</t>
  </si>
  <si>
    <t>ya</t>
  </si>
  <si>
    <t>budi</t>
  </si>
  <si>
    <t>tidak</t>
  </si>
  <si>
    <t>citra</t>
  </si>
  <si>
    <t>deni</t>
  </si>
  <si>
    <t>eka</t>
  </si>
  <si>
    <t>farah</t>
  </si>
  <si>
    <t>gilang</t>
  </si>
  <si>
    <t>Penghargaan</t>
  </si>
  <si>
    <t>1. Pelanggan mendapat gratis cuci mobil jika:lama sewa minimal 5 hari DAN merupakan Member</t>
  </si>
  <si>
    <t>Mendapatkan</t>
  </si>
  <si>
    <t>2. Pelanggan mendapat voucher servis jika:total bayar minimal Rp. 3.000.000 ATAU merupakan Member</t>
  </si>
  <si>
    <t>3. Pelanggan mendapat Diskon 15% jika:total bayar minimal Rp. 2.000.000 DAN tidak pernah terlambat mengembalikan mobil.</t>
  </si>
  <si>
    <t>4. Pelanggan mendapatsouvenir jika:lama servis minimal 7 hari ATAU total bayar minimal Rp 4.000.000</t>
  </si>
  <si>
    <t>Tidak Mendapatkan</t>
  </si>
  <si>
    <t>5. Pelanggan mendapat prioritas booking jika:member DAN tidak pernah terlambat</t>
  </si>
  <si>
    <t>6. Pelanggan mendapat upgrade mobil gratis jika:lama sewa minimal 10 hari ATAU merupakan member</t>
  </si>
  <si>
    <t>7.  Pelanggan dianggap pelanggan tetap jika:lama sewa minimal 3 hari DAN tidak pernah terlambat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</si>
</sst>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"/>
    <numFmt numFmtId="181" formatCode="&quot;Rp&quot;#,##0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4"/>
      <color rgb="FFEDEDED"/>
      <name val="Calibri"/>
      <charset val="134"/>
    </font>
    <font>
      <sz val="11"/>
      <color rgb="FF000000"/>
      <name val="Calibri"/>
      <charset val="134"/>
    </font>
    <font>
      <sz val="10"/>
      <name val="Arial"/>
      <charset val="134"/>
    </font>
    <font>
      <b/>
      <sz val="12"/>
      <name val="Lucida Handwriting"/>
      <charset val="134"/>
    </font>
    <font>
      <sz val="12"/>
      <name val="Lucida Handwriting"/>
      <charset val="134"/>
    </font>
    <font>
      <b/>
      <sz val="16"/>
      <name val="Algerian"/>
      <charset val="134"/>
    </font>
    <font>
      <b/>
      <sz val="10"/>
      <name val="Arial"/>
      <charset val="134"/>
    </font>
    <font>
      <b/>
      <i/>
      <u/>
      <sz val="10"/>
      <name val="Arial"/>
      <charset val="134"/>
    </font>
    <font>
      <b/>
      <sz val="11"/>
      <name val="Arial"/>
      <charset val="134"/>
    </font>
    <font>
      <b/>
      <sz val="12"/>
      <name val="Arial"/>
      <charset val="134"/>
    </font>
    <font>
      <b/>
      <sz val="1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Wingdings"/>
      <charset val="2"/>
    </font>
  </fonts>
  <fills count="3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808080"/>
        <bgColor rgb="FF808080"/>
      </patternFill>
    </fill>
    <fill>
      <patternFill patternType="solid">
        <fgColor rgb="FFF8CBAD"/>
        <bgColor rgb="FFF8CBAD"/>
      </patternFill>
    </fill>
    <fill>
      <patternFill patternType="gray0625"/>
    </fill>
    <fill>
      <patternFill patternType="gray0625">
        <fgColor indexed="23"/>
        <bgColor indexed="2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 style="medium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3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36" applyNumberFormat="0" applyAlignment="0" applyProtection="0">
      <alignment vertical="center"/>
    </xf>
    <xf numFmtId="0" fontId="22" fillId="9" borderId="37" applyNumberFormat="0" applyAlignment="0" applyProtection="0">
      <alignment vertical="center"/>
    </xf>
    <xf numFmtId="0" fontId="23" fillId="9" borderId="36" applyNumberFormat="0" applyAlignment="0" applyProtection="0">
      <alignment vertical="center"/>
    </xf>
    <xf numFmtId="0" fontId="24" fillId="10" borderId="38" applyNumberFormat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4" fillId="0" borderId="0"/>
  </cellStyleXfs>
  <cellXfs count="60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/>
    <xf numFmtId="0" fontId="1" fillId="0" borderId="0" xfId="0" applyFont="1" applyFill="1" applyAlignment="1">
      <alignment wrapText="1"/>
    </xf>
    <xf numFmtId="0" fontId="4" fillId="0" borderId="0" xfId="49" applyAlignment="1">
      <alignment vertical="center"/>
    </xf>
    <xf numFmtId="0" fontId="4" fillId="0" borderId="0" xfId="49"/>
    <xf numFmtId="0" fontId="5" fillId="5" borderId="3" xfId="49" applyFont="1" applyFill="1" applyBorder="1" applyAlignment="1">
      <alignment horizontal="center" vertical="center" wrapText="1"/>
    </xf>
    <xf numFmtId="0" fontId="5" fillId="5" borderId="4" xfId="49" applyFont="1" applyFill="1" applyBorder="1" applyAlignment="1">
      <alignment horizontal="center" vertical="center" wrapText="1"/>
    </xf>
    <xf numFmtId="0" fontId="6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 vertical="center"/>
    </xf>
    <xf numFmtId="0" fontId="8" fillId="0" borderId="0" xfId="49" applyFont="1" applyAlignment="1">
      <alignment horizontal="center"/>
    </xf>
    <xf numFmtId="0" fontId="4" fillId="0" borderId="5" xfId="49" applyBorder="1"/>
    <xf numFmtId="0" fontId="9" fillId="0" borderId="0" xfId="49" applyFont="1" applyAlignment="1">
      <alignment horizontal="center"/>
    </xf>
    <xf numFmtId="0" fontId="8" fillId="6" borderId="6" xfId="49" applyFont="1" applyFill="1" applyBorder="1" applyAlignment="1">
      <alignment horizontal="center" vertical="center" wrapText="1"/>
    </xf>
    <xf numFmtId="0" fontId="8" fillId="6" borderId="7" xfId="49" applyFont="1" applyFill="1" applyBorder="1" applyAlignment="1">
      <alignment horizontal="center" vertical="center" wrapText="1"/>
    </xf>
    <xf numFmtId="0" fontId="8" fillId="6" borderId="8" xfId="49" applyFont="1" applyFill="1" applyBorder="1" applyAlignment="1">
      <alignment horizontal="center" vertical="center" wrapText="1"/>
    </xf>
    <xf numFmtId="0" fontId="8" fillId="6" borderId="9" xfId="49" applyFont="1" applyFill="1" applyBorder="1" applyAlignment="1">
      <alignment horizontal="center" vertical="center" wrapText="1"/>
    </xf>
    <xf numFmtId="180" fontId="4" fillId="0" borderId="10" xfId="49" applyNumberFormat="1" applyBorder="1" applyAlignment="1">
      <alignment horizontal="center" vertical="center"/>
    </xf>
    <xf numFmtId="0" fontId="4" fillId="0" borderId="11" xfId="49" applyBorder="1" applyAlignment="1">
      <alignment vertical="center"/>
    </xf>
    <xf numFmtId="0" fontId="4" fillId="0" borderId="11" xfId="49" applyBorder="1" applyAlignment="1">
      <alignment horizontal="center" vertical="center"/>
    </xf>
    <xf numFmtId="180" fontId="4" fillId="0" borderId="12" xfId="49" applyNumberFormat="1" applyBorder="1" applyAlignment="1">
      <alignment horizontal="center" vertical="center"/>
    </xf>
    <xf numFmtId="0" fontId="4" fillId="0" borderId="13" xfId="49" applyBorder="1" applyAlignment="1">
      <alignment vertical="center"/>
    </xf>
    <xf numFmtId="0" fontId="4" fillId="0" borderId="13" xfId="49" applyBorder="1" applyAlignment="1">
      <alignment horizontal="center" vertical="center"/>
    </xf>
    <xf numFmtId="180" fontId="4" fillId="0" borderId="14" xfId="49" applyNumberFormat="1" applyBorder="1" applyAlignment="1">
      <alignment horizontal="center" vertical="center"/>
    </xf>
    <xf numFmtId="0" fontId="4" fillId="0" borderId="15" xfId="49" applyBorder="1" applyAlignment="1">
      <alignment vertical="center"/>
    </xf>
    <xf numFmtId="0" fontId="4" fillId="0" borderId="15" xfId="49" applyBorder="1" applyAlignment="1">
      <alignment horizontal="center" vertical="center"/>
    </xf>
    <xf numFmtId="0" fontId="10" fillId="0" borderId="16" xfId="49" applyFont="1" applyBorder="1" applyAlignment="1">
      <alignment horizontal="center" vertical="center"/>
    </xf>
    <xf numFmtId="0" fontId="10" fillId="0" borderId="17" xfId="49" applyFont="1" applyBorder="1" applyAlignment="1">
      <alignment horizontal="center" vertical="center"/>
    </xf>
    <xf numFmtId="0" fontId="8" fillId="6" borderId="18" xfId="49" applyFont="1" applyFill="1" applyBorder="1" applyAlignment="1">
      <alignment horizontal="center" vertical="center" wrapText="1"/>
    </xf>
    <xf numFmtId="0" fontId="8" fillId="6" borderId="19" xfId="49" applyFont="1" applyFill="1" applyBorder="1" applyAlignment="1">
      <alignment horizontal="center" vertical="center" wrapText="1"/>
    </xf>
    <xf numFmtId="181" fontId="4" fillId="0" borderId="11" xfId="49" applyNumberFormat="1" applyBorder="1" applyAlignment="1">
      <alignment vertical="center"/>
    </xf>
    <xf numFmtId="181" fontId="4" fillId="0" borderId="20" xfId="49" applyNumberFormat="1" applyBorder="1" applyAlignment="1">
      <alignment vertical="center"/>
    </xf>
    <xf numFmtId="0" fontId="8" fillId="0" borderId="0" xfId="49" applyFont="1"/>
    <xf numFmtId="181" fontId="4" fillId="0" borderId="21" xfId="49" applyNumberFormat="1" applyBorder="1" applyAlignment="1">
      <alignment horizontal="center" vertical="center"/>
    </xf>
    <xf numFmtId="0" fontId="4" fillId="0" borderId="0" xfId="49" applyAlignment="1">
      <alignment horizontal="center" vertical="center" wrapText="1"/>
    </xf>
    <xf numFmtId="0" fontId="11" fillId="0" borderId="0" xfId="49" applyFont="1" applyAlignment="1">
      <alignment horizontal="center"/>
    </xf>
    <xf numFmtId="0" fontId="12" fillId="0" borderId="0" xfId="49" applyFont="1" applyAlignment="1">
      <alignment horizontal="center"/>
    </xf>
    <xf numFmtId="0" fontId="4" fillId="0" borderId="22" xfId="49" applyBorder="1"/>
    <xf numFmtId="0" fontId="4" fillId="0" borderId="22" xfId="49" applyFont="1" applyBorder="1" applyAlignment="1">
      <alignment horizontal="center"/>
    </xf>
    <xf numFmtId="0" fontId="4" fillId="0" borderId="22" xfId="49" applyBorder="1" applyAlignment="1">
      <alignment horizontal="center"/>
    </xf>
    <xf numFmtId="0" fontId="8" fillId="6" borderId="23" xfId="49" applyFont="1" applyFill="1" applyBorder="1" applyAlignment="1">
      <alignment horizontal="center" vertical="center" wrapText="1"/>
    </xf>
    <xf numFmtId="0" fontId="8" fillId="6" borderId="24" xfId="49" applyFont="1" applyFill="1" applyBorder="1" applyAlignment="1">
      <alignment horizontal="center" vertical="center" wrapText="1"/>
    </xf>
    <xf numFmtId="0" fontId="8" fillId="6" borderId="25" xfId="49" applyFont="1" applyFill="1" applyBorder="1" applyAlignment="1">
      <alignment horizontal="center" vertical="center" wrapText="1"/>
    </xf>
    <xf numFmtId="0" fontId="8" fillId="6" borderId="26" xfId="49" applyFont="1" applyFill="1" applyBorder="1" applyAlignment="1">
      <alignment horizontal="center" vertical="center" wrapText="1"/>
    </xf>
    <xf numFmtId="0" fontId="8" fillId="6" borderId="27" xfId="49" applyFont="1" applyFill="1" applyBorder="1" applyAlignment="1">
      <alignment horizontal="center" vertical="center" wrapText="1"/>
    </xf>
    <xf numFmtId="0" fontId="8" fillId="6" borderId="28" xfId="49" applyFont="1" applyFill="1" applyBorder="1" applyAlignment="1">
      <alignment horizontal="center" vertical="center" wrapText="1"/>
    </xf>
    <xf numFmtId="0" fontId="4" fillId="0" borderId="10" xfId="49" applyBorder="1" applyAlignment="1">
      <alignment horizontal="center" vertical="center"/>
    </xf>
    <xf numFmtId="1" fontId="4" fillId="0" borderId="11" xfId="49" applyNumberFormat="1" applyBorder="1" applyAlignment="1">
      <alignment horizontal="center" vertical="center"/>
    </xf>
    <xf numFmtId="1" fontId="4" fillId="0" borderId="29" xfId="49" applyNumberFormat="1" applyFont="1" applyBorder="1" applyAlignment="1">
      <alignment horizontal="center" vertical="center"/>
    </xf>
    <xf numFmtId="0" fontId="4" fillId="0" borderId="12" xfId="49" applyBorder="1" applyAlignment="1">
      <alignment horizontal="center" vertical="center"/>
    </xf>
    <xf numFmtId="0" fontId="4" fillId="0" borderId="13" xfId="49" applyFont="1" applyBorder="1" applyAlignment="1">
      <alignment vertical="center"/>
    </xf>
    <xf numFmtId="0" fontId="4" fillId="0" borderId="14" xfId="49" applyBorder="1" applyAlignment="1">
      <alignment horizontal="center" vertical="center"/>
    </xf>
    <xf numFmtId="0" fontId="4" fillId="0" borderId="30" xfId="49" applyBorder="1"/>
    <xf numFmtId="0" fontId="4" fillId="0" borderId="31" xfId="49" applyBorder="1"/>
    <xf numFmtId="0" fontId="4" fillId="0" borderId="32" xfId="49" applyBorder="1"/>
    <xf numFmtId="0" fontId="4" fillId="0" borderId="0" xfId="49" applyFont="1"/>
    <xf numFmtId="0" fontId="8" fillId="0" borderId="0" xfId="49" applyFont="1" applyAlignment="1" quotePrefix="1">
      <alignment horizontal="center"/>
    </xf>
    <xf numFmtId="0" fontId="4" fillId="0" borderId="0" xfId="49" quotePrefix="1"/>
    <xf numFmtId="0" fontId="8" fillId="0" borderId="0" xfId="49" applyFont="1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25</xdr:row>
      <xdr:rowOff>0</xdr:rowOff>
    </xdr:from>
    <xdr:to>
      <xdr:col>1</xdr:col>
      <xdr:colOff>710571</xdr:colOff>
      <xdr:row>26</xdr:row>
      <xdr:rowOff>159203</xdr:rowOff>
    </xdr:to>
    <xdr:sp>
      <xdr:nvSpPr>
        <xdr:cNvPr id="2" name="AutoShape 2"/>
        <xdr:cNvSpPr>
          <a:spLocks noChangeArrowheads="1"/>
        </xdr:cNvSpPr>
      </xdr:nvSpPr>
      <xdr:spPr>
        <a:xfrm>
          <a:off x="38100" y="5349875"/>
          <a:ext cx="1104265" cy="317500"/>
        </a:xfrm>
        <a:prstGeom prst="flowChartMulti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KETENTUAN:</a:t>
          </a:r>
          <a:endParaRPr lang="en-US" altLang="en-US" sz="1000" b="1" i="0" strike="noStrike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352425</xdr:colOff>
      <xdr:row>9</xdr:row>
      <xdr:rowOff>50800</xdr:rowOff>
    </xdr:from>
    <xdr:to>
      <xdr:col>15</xdr:col>
      <xdr:colOff>183572</xdr:colOff>
      <xdr:row>10</xdr:row>
      <xdr:rowOff>146916</xdr:rowOff>
    </xdr:to>
    <xdr:sp>
      <xdr:nvSpPr>
        <xdr:cNvPr id="2" name="AutoShape 2"/>
        <xdr:cNvSpPr>
          <a:spLocks noChangeArrowheads="1"/>
        </xdr:cNvSpPr>
      </xdr:nvSpPr>
      <xdr:spPr>
        <a:xfrm>
          <a:off x="9121775" y="1936750"/>
          <a:ext cx="1050290" cy="324485"/>
        </a:xfrm>
        <a:prstGeom prst="flowChartMulti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SOAL:</a:t>
          </a:r>
          <a:endParaRPr lang="en-US" altLang="en-US" sz="1000" b="1" i="0" strike="noStrike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2</xdr:col>
      <xdr:colOff>57150</xdr:colOff>
      <xdr:row>3</xdr:row>
      <xdr:rowOff>12700</xdr:rowOff>
    </xdr:from>
    <xdr:to>
      <xdr:col>3</xdr:col>
      <xdr:colOff>349250</xdr:colOff>
      <xdr:row>4</xdr:row>
      <xdr:rowOff>146050</xdr:rowOff>
    </xdr:to>
    <xdr:pic>
      <xdr:nvPicPr>
        <xdr:cNvPr id="3" name="Picture 3" descr="CRANE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6350" y="679450"/>
          <a:ext cx="5905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!To%20Husnan%20Nilai%20SMA1\Soal%20UAK%20Office2_iiq%20(TIF-A%20&amp;%20KAB-A)\Backup%20flashdisk%2010feb07\bank%20soal%20excel\excel%20iiq\IIQTIF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SIBOOK\Downloads\Excel%20Lanju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Perhat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ta PIVOTABLE (2)"/>
      <sheetName val="Data PIVOTABLE"/>
      <sheetName val="Lat 7 kamis"/>
      <sheetName val="Lat 6 kamis"/>
      <sheetName val="Lat 5 kamis"/>
      <sheetName val="Lat 4 kamis"/>
      <sheetName val="Lat 3 kamis"/>
      <sheetName val="Lat 2 kamis"/>
      <sheetName val="Lat 1 kamis"/>
      <sheetName val="Studi Kasus 1 Jumat Soal6"/>
      <sheetName val="Studi Kasus 1 Jumat Soal5"/>
      <sheetName val="Studi Kasus 1 Jumat Soal4"/>
      <sheetName val="Studi Kasus 1 Jumat Soal3"/>
      <sheetName val="Studi Kasus 1 Jumat Soal2"/>
      <sheetName val="Studi Kasus 1 Jumat Soal1"/>
      <sheetName val="Studi Kasus 2 Jumat Soal 1"/>
      <sheetName val="Studi Kasus 2 Jumat Soal 2"/>
      <sheetName val="Studi Kasus 2 Jumat Soal 3.b"/>
      <sheetName val="Studi Kasus 2 Jumat Soal 4"/>
      <sheetName val="Studi kasus 2 1 jumat"/>
      <sheetName val="CHART"/>
      <sheetName val="SORT&amp;FILTER"/>
      <sheetName val="FILTER"/>
      <sheetName val="SHORT"/>
      <sheetName val="SHORT&amp;FILTER"/>
      <sheetName val="#Sheet8"/>
      <sheetName val="#Sheet12"/>
      <sheetName val="#Sheet11"/>
      <sheetName val="#Sheet3"/>
      <sheetName val="#Sheet9"/>
      <sheetName val="#Sheet7"/>
      <sheetName val="#VLOOKUP"/>
      <sheetName val="#Sheet13"/>
      <sheetName val="#12"/>
      <sheetName val="Sheet6#"/>
      <sheetName val="#diagram"/>
      <sheetName val="#Sheet10"/>
      <sheetName val="#HLOOKUP"/>
      <sheetName val="#VLOOKUP (2)"/>
      <sheetName val="DATE#"/>
      <sheetName val="Sheet5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63" zoomScaleNormal="63" topLeftCell="A5" workbookViewId="0">
      <selection activeCell="G14" sqref="G14"/>
    </sheetView>
  </sheetViews>
  <sheetFormatPr defaultColWidth="9" defaultRowHeight="12.5" outlineLevelCol="7"/>
  <cols>
    <col min="1" max="1" width="6.18181818181818" style="9" customWidth="1"/>
    <col min="2" max="2" width="20.7272727272727" style="9" customWidth="1"/>
    <col min="3" max="6" width="10.1818181818182" style="9" customWidth="1"/>
    <col min="7" max="7" width="16.4545454545455" style="9" customWidth="1"/>
    <col min="8" max="8" width="17.2727272727273" style="9" customWidth="1"/>
    <col min="9" max="9" width="8.72727272727273" style="9"/>
    <col min="10" max="10" width="13.7272727272727" style="9" customWidth="1"/>
    <col min="11" max="256" width="8.72727272727273" style="9"/>
    <col min="257" max="257" width="6.18181818181818" style="9" customWidth="1"/>
    <col min="258" max="258" width="20.7272727272727" style="9" customWidth="1"/>
    <col min="259" max="262" width="10.1818181818182" style="9" customWidth="1"/>
    <col min="263" max="263" width="16.4545454545455" style="9" customWidth="1"/>
    <col min="264" max="264" width="17.2727272727273" style="9" customWidth="1"/>
    <col min="265" max="265" width="8.72727272727273" style="9"/>
    <col min="266" max="266" width="13.7272727272727" style="9" customWidth="1"/>
    <col min="267" max="512" width="8.72727272727273" style="9"/>
    <col min="513" max="513" width="6.18181818181818" style="9" customWidth="1"/>
    <col min="514" max="514" width="20.7272727272727" style="9" customWidth="1"/>
    <col min="515" max="518" width="10.1818181818182" style="9" customWidth="1"/>
    <col min="519" max="519" width="16.4545454545455" style="9" customWidth="1"/>
    <col min="520" max="520" width="17.2727272727273" style="9" customWidth="1"/>
    <col min="521" max="521" width="8.72727272727273" style="9"/>
    <col min="522" max="522" width="13.7272727272727" style="9" customWidth="1"/>
    <col min="523" max="768" width="8.72727272727273" style="9"/>
    <col min="769" max="769" width="6.18181818181818" style="9" customWidth="1"/>
    <col min="770" max="770" width="20.7272727272727" style="9" customWidth="1"/>
    <col min="771" max="774" width="10.1818181818182" style="9" customWidth="1"/>
    <col min="775" max="775" width="16.4545454545455" style="9" customWidth="1"/>
    <col min="776" max="776" width="17.2727272727273" style="9" customWidth="1"/>
    <col min="777" max="777" width="8.72727272727273" style="9"/>
    <col min="778" max="778" width="13.7272727272727" style="9" customWidth="1"/>
    <col min="779" max="1024" width="8.72727272727273" style="9"/>
    <col min="1025" max="1025" width="6.18181818181818" style="9" customWidth="1"/>
    <col min="1026" max="1026" width="20.7272727272727" style="9" customWidth="1"/>
    <col min="1027" max="1030" width="10.1818181818182" style="9" customWidth="1"/>
    <col min="1031" max="1031" width="16.4545454545455" style="9" customWidth="1"/>
    <col min="1032" max="1032" width="17.2727272727273" style="9" customWidth="1"/>
    <col min="1033" max="1033" width="8.72727272727273" style="9"/>
    <col min="1034" max="1034" width="13.7272727272727" style="9" customWidth="1"/>
    <col min="1035" max="1280" width="8.72727272727273" style="9"/>
    <col min="1281" max="1281" width="6.18181818181818" style="9" customWidth="1"/>
    <col min="1282" max="1282" width="20.7272727272727" style="9" customWidth="1"/>
    <col min="1283" max="1286" width="10.1818181818182" style="9" customWidth="1"/>
    <col min="1287" max="1287" width="16.4545454545455" style="9" customWidth="1"/>
    <col min="1288" max="1288" width="17.2727272727273" style="9" customWidth="1"/>
    <col min="1289" max="1289" width="8.72727272727273" style="9"/>
    <col min="1290" max="1290" width="13.7272727272727" style="9" customWidth="1"/>
    <col min="1291" max="1536" width="8.72727272727273" style="9"/>
    <col min="1537" max="1537" width="6.18181818181818" style="9" customWidth="1"/>
    <col min="1538" max="1538" width="20.7272727272727" style="9" customWidth="1"/>
    <col min="1539" max="1542" width="10.1818181818182" style="9" customWidth="1"/>
    <col min="1543" max="1543" width="16.4545454545455" style="9" customWidth="1"/>
    <col min="1544" max="1544" width="17.2727272727273" style="9" customWidth="1"/>
    <col min="1545" max="1545" width="8.72727272727273" style="9"/>
    <col min="1546" max="1546" width="13.7272727272727" style="9" customWidth="1"/>
    <col min="1547" max="1792" width="8.72727272727273" style="9"/>
    <col min="1793" max="1793" width="6.18181818181818" style="9" customWidth="1"/>
    <col min="1794" max="1794" width="20.7272727272727" style="9" customWidth="1"/>
    <col min="1795" max="1798" width="10.1818181818182" style="9" customWidth="1"/>
    <col min="1799" max="1799" width="16.4545454545455" style="9" customWidth="1"/>
    <col min="1800" max="1800" width="17.2727272727273" style="9" customWidth="1"/>
    <col min="1801" max="1801" width="8.72727272727273" style="9"/>
    <col min="1802" max="1802" width="13.7272727272727" style="9" customWidth="1"/>
    <col min="1803" max="2048" width="8.72727272727273" style="9"/>
    <col min="2049" max="2049" width="6.18181818181818" style="9" customWidth="1"/>
    <col min="2050" max="2050" width="20.7272727272727" style="9" customWidth="1"/>
    <col min="2051" max="2054" width="10.1818181818182" style="9" customWidth="1"/>
    <col min="2055" max="2055" width="16.4545454545455" style="9" customWidth="1"/>
    <col min="2056" max="2056" width="17.2727272727273" style="9" customWidth="1"/>
    <col min="2057" max="2057" width="8.72727272727273" style="9"/>
    <col min="2058" max="2058" width="13.7272727272727" style="9" customWidth="1"/>
    <col min="2059" max="2304" width="8.72727272727273" style="9"/>
    <col min="2305" max="2305" width="6.18181818181818" style="9" customWidth="1"/>
    <col min="2306" max="2306" width="20.7272727272727" style="9" customWidth="1"/>
    <col min="2307" max="2310" width="10.1818181818182" style="9" customWidth="1"/>
    <col min="2311" max="2311" width="16.4545454545455" style="9" customWidth="1"/>
    <col min="2312" max="2312" width="17.2727272727273" style="9" customWidth="1"/>
    <col min="2313" max="2313" width="8.72727272727273" style="9"/>
    <col min="2314" max="2314" width="13.7272727272727" style="9" customWidth="1"/>
    <col min="2315" max="2560" width="8.72727272727273" style="9"/>
    <col min="2561" max="2561" width="6.18181818181818" style="9" customWidth="1"/>
    <col min="2562" max="2562" width="20.7272727272727" style="9" customWidth="1"/>
    <col min="2563" max="2566" width="10.1818181818182" style="9" customWidth="1"/>
    <col min="2567" max="2567" width="16.4545454545455" style="9" customWidth="1"/>
    <col min="2568" max="2568" width="17.2727272727273" style="9" customWidth="1"/>
    <col min="2569" max="2569" width="8.72727272727273" style="9"/>
    <col min="2570" max="2570" width="13.7272727272727" style="9" customWidth="1"/>
    <col min="2571" max="2816" width="8.72727272727273" style="9"/>
    <col min="2817" max="2817" width="6.18181818181818" style="9" customWidth="1"/>
    <col min="2818" max="2818" width="20.7272727272727" style="9" customWidth="1"/>
    <col min="2819" max="2822" width="10.1818181818182" style="9" customWidth="1"/>
    <col min="2823" max="2823" width="16.4545454545455" style="9" customWidth="1"/>
    <col min="2824" max="2824" width="17.2727272727273" style="9" customWidth="1"/>
    <col min="2825" max="2825" width="8.72727272727273" style="9"/>
    <col min="2826" max="2826" width="13.7272727272727" style="9" customWidth="1"/>
    <col min="2827" max="3072" width="8.72727272727273" style="9"/>
    <col min="3073" max="3073" width="6.18181818181818" style="9" customWidth="1"/>
    <col min="3074" max="3074" width="20.7272727272727" style="9" customWidth="1"/>
    <col min="3075" max="3078" width="10.1818181818182" style="9" customWidth="1"/>
    <col min="3079" max="3079" width="16.4545454545455" style="9" customWidth="1"/>
    <col min="3080" max="3080" width="17.2727272727273" style="9" customWidth="1"/>
    <col min="3081" max="3081" width="8.72727272727273" style="9"/>
    <col min="3082" max="3082" width="13.7272727272727" style="9" customWidth="1"/>
    <col min="3083" max="3328" width="8.72727272727273" style="9"/>
    <col min="3329" max="3329" width="6.18181818181818" style="9" customWidth="1"/>
    <col min="3330" max="3330" width="20.7272727272727" style="9" customWidth="1"/>
    <col min="3331" max="3334" width="10.1818181818182" style="9" customWidth="1"/>
    <col min="3335" max="3335" width="16.4545454545455" style="9" customWidth="1"/>
    <col min="3336" max="3336" width="17.2727272727273" style="9" customWidth="1"/>
    <col min="3337" max="3337" width="8.72727272727273" style="9"/>
    <col min="3338" max="3338" width="13.7272727272727" style="9" customWidth="1"/>
    <col min="3339" max="3584" width="8.72727272727273" style="9"/>
    <col min="3585" max="3585" width="6.18181818181818" style="9" customWidth="1"/>
    <col min="3586" max="3586" width="20.7272727272727" style="9" customWidth="1"/>
    <col min="3587" max="3590" width="10.1818181818182" style="9" customWidth="1"/>
    <col min="3591" max="3591" width="16.4545454545455" style="9" customWidth="1"/>
    <col min="3592" max="3592" width="17.2727272727273" style="9" customWidth="1"/>
    <col min="3593" max="3593" width="8.72727272727273" style="9"/>
    <col min="3594" max="3594" width="13.7272727272727" style="9" customWidth="1"/>
    <col min="3595" max="3840" width="8.72727272727273" style="9"/>
    <col min="3841" max="3841" width="6.18181818181818" style="9" customWidth="1"/>
    <col min="3842" max="3842" width="20.7272727272727" style="9" customWidth="1"/>
    <col min="3843" max="3846" width="10.1818181818182" style="9" customWidth="1"/>
    <col min="3847" max="3847" width="16.4545454545455" style="9" customWidth="1"/>
    <col min="3848" max="3848" width="17.2727272727273" style="9" customWidth="1"/>
    <col min="3849" max="3849" width="8.72727272727273" style="9"/>
    <col min="3850" max="3850" width="13.7272727272727" style="9" customWidth="1"/>
    <col min="3851" max="4096" width="8.72727272727273" style="9"/>
    <col min="4097" max="4097" width="6.18181818181818" style="9" customWidth="1"/>
    <col min="4098" max="4098" width="20.7272727272727" style="9" customWidth="1"/>
    <col min="4099" max="4102" width="10.1818181818182" style="9" customWidth="1"/>
    <col min="4103" max="4103" width="16.4545454545455" style="9" customWidth="1"/>
    <col min="4104" max="4104" width="17.2727272727273" style="9" customWidth="1"/>
    <col min="4105" max="4105" width="8.72727272727273" style="9"/>
    <col min="4106" max="4106" width="13.7272727272727" style="9" customWidth="1"/>
    <col min="4107" max="4352" width="8.72727272727273" style="9"/>
    <col min="4353" max="4353" width="6.18181818181818" style="9" customWidth="1"/>
    <col min="4354" max="4354" width="20.7272727272727" style="9" customWidth="1"/>
    <col min="4355" max="4358" width="10.1818181818182" style="9" customWidth="1"/>
    <col min="4359" max="4359" width="16.4545454545455" style="9" customWidth="1"/>
    <col min="4360" max="4360" width="17.2727272727273" style="9" customWidth="1"/>
    <col min="4361" max="4361" width="8.72727272727273" style="9"/>
    <col min="4362" max="4362" width="13.7272727272727" style="9" customWidth="1"/>
    <col min="4363" max="4608" width="8.72727272727273" style="9"/>
    <col min="4609" max="4609" width="6.18181818181818" style="9" customWidth="1"/>
    <col min="4610" max="4610" width="20.7272727272727" style="9" customWidth="1"/>
    <col min="4611" max="4614" width="10.1818181818182" style="9" customWidth="1"/>
    <col min="4615" max="4615" width="16.4545454545455" style="9" customWidth="1"/>
    <col min="4616" max="4616" width="17.2727272727273" style="9" customWidth="1"/>
    <col min="4617" max="4617" width="8.72727272727273" style="9"/>
    <col min="4618" max="4618" width="13.7272727272727" style="9" customWidth="1"/>
    <col min="4619" max="4864" width="8.72727272727273" style="9"/>
    <col min="4865" max="4865" width="6.18181818181818" style="9" customWidth="1"/>
    <col min="4866" max="4866" width="20.7272727272727" style="9" customWidth="1"/>
    <col min="4867" max="4870" width="10.1818181818182" style="9" customWidth="1"/>
    <col min="4871" max="4871" width="16.4545454545455" style="9" customWidth="1"/>
    <col min="4872" max="4872" width="17.2727272727273" style="9" customWidth="1"/>
    <col min="4873" max="4873" width="8.72727272727273" style="9"/>
    <col min="4874" max="4874" width="13.7272727272727" style="9" customWidth="1"/>
    <col min="4875" max="5120" width="8.72727272727273" style="9"/>
    <col min="5121" max="5121" width="6.18181818181818" style="9" customWidth="1"/>
    <col min="5122" max="5122" width="20.7272727272727" style="9" customWidth="1"/>
    <col min="5123" max="5126" width="10.1818181818182" style="9" customWidth="1"/>
    <col min="5127" max="5127" width="16.4545454545455" style="9" customWidth="1"/>
    <col min="5128" max="5128" width="17.2727272727273" style="9" customWidth="1"/>
    <col min="5129" max="5129" width="8.72727272727273" style="9"/>
    <col min="5130" max="5130" width="13.7272727272727" style="9" customWidth="1"/>
    <col min="5131" max="5376" width="8.72727272727273" style="9"/>
    <col min="5377" max="5377" width="6.18181818181818" style="9" customWidth="1"/>
    <col min="5378" max="5378" width="20.7272727272727" style="9" customWidth="1"/>
    <col min="5379" max="5382" width="10.1818181818182" style="9" customWidth="1"/>
    <col min="5383" max="5383" width="16.4545454545455" style="9" customWidth="1"/>
    <col min="5384" max="5384" width="17.2727272727273" style="9" customWidth="1"/>
    <col min="5385" max="5385" width="8.72727272727273" style="9"/>
    <col min="5386" max="5386" width="13.7272727272727" style="9" customWidth="1"/>
    <col min="5387" max="5632" width="8.72727272727273" style="9"/>
    <col min="5633" max="5633" width="6.18181818181818" style="9" customWidth="1"/>
    <col min="5634" max="5634" width="20.7272727272727" style="9" customWidth="1"/>
    <col min="5635" max="5638" width="10.1818181818182" style="9" customWidth="1"/>
    <col min="5639" max="5639" width="16.4545454545455" style="9" customWidth="1"/>
    <col min="5640" max="5640" width="17.2727272727273" style="9" customWidth="1"/>
    <col min="5641" max="5641" width="8.72727272727273" style="9"/>
    <col min="5642" max="5642" width="13.7272727272727" style="9" customWidth="1"/>
    <col min="5643" max="5888" width="8.72727272727273" style="9"/>
    <col min="5889" max="5889" width="6.18181818181818" style="9" customWidth="1"/>
    <col min="5890" max="5890" width="20.7272727272727" style="9" customWidth="1"/>
    <col min="5891" max="5894" width="10.1818181818182" style="9" customWidth="1"/>
    <col min="5895" max="5895" width="16.4545454545455" style="9" customWidth="1"/>
    <col min="5896" max="5896" width="17.2727272727273" style="9" customWidth="1"/>
    <col min="5897" max="5897" width="8.72727272727273" style="9"/>
    <col min="5898" max="5898" width="13.7272727272727" style="9" customWidth="1"/>
    <col min="5899" max="6144" width="8.72727272727273" style="9"/>
    <col min="6145" max="6145" width="6.18181818181818" style="9" customWidth="1"/>
    <col min="6146" max="6146" width="20.7272727272727" style="9" customWidth="1"/>
    <col min="6147" max="6150" width="10.1818181818182" style="9" customWidth="1"/>
    <col min="6151" max="6151" width="16.4545454545455" style="9" customWidth="1"/>
    <col min="6152" max="6152" width="17.2727272727273" style="9" customWidth="1"/>
    <col min="6153" max="6153" width="8.72727272727273" style="9"/>
    <col min="6154" max="6154" width="13.7272727272727" style="9" customWidth="1"/>
    <col min="6155" max="6400" width="8.72727272727273" style="9"/>
    <col min="6401" max="6401" width="6.18181818181818" style="9" customWidth="1"/>
    <col min="6402" max="6402" width="20.7272727272727" style="9" customWidth="1"/>
    <col min="6403" max="6406" width="10.1818181818182" style="9" customWidth="1"/>
    <col min="6407" max="6407" width="16.4545454545455" style="9" customWidth="1"/>
    <col min="6408" max="6408" width="17.2727272727273" style="9" customWidth="1"/>
    <col min="6409" max="6409" width="8.72727272727273" style="9"/>
    <col min="6410" max="6410" width="13.7272727272727" style="9" customWidth="1"/>
    <col min="6411" max="6656" width="8.72727272727273" style="9"/>
    <col min="6657" max="6657" width="6.18181818181818" style="9" customWidth="1"/>
    <col min="6658" max="6658" width="20.7272727272727" style="9" customWidth="1"/>
    <col min="6659" max="6662" width="10.1818181818182" style="9" customWidth="1"/>
    <col min="6663" max="6663" width="16.4545454545455" style="9" customWidth="1"/>
    <col min="6664" max="6664" width="17.2727272727273" style="9" customWidth="1"/>
    <col min="6665" max="6665" width="8.72727272727273" style="9"/>
    <col min="6666" max="6666" width="13.7272727272727" style="9" customWidth="1"/>
    <col min="6667" max="6912" width="8.72727272727273" style="9"/>
    <col min="6913" max="6913" width="6.18181818181818" style="9" customWidth="1"/>
    <col min="6914" max="6914" width="20.7272727272727" style="9" customWidth="1"/>
    <col min="6915" max="6918" width="10.1818181818182" style="9" customWidth="1"/>
    <col min="6919" max="6919" width="16.4545454545455" style="9" customWidth="1"/>
    <col min="6920" max="6920" width="17.2727272727273" style="9" customWidth="1"/>
    <col min="6921" max="6921" width="8.72727272727273" style="9"/>
    <col min="6922" max="6922" width="13.7272727272727" style="9" customWidth="1"/>
    <col min="6923" max="7168" width="8.72727272727273" style="9"/>
    <col min="7169" max="7169" width="6.18181818181818" style="9" customWidth="1"/>
    <col min="7170" max="7170" width="20.7272727272727" style="9" customWidth="1"/>
    <col min="7171" max="7174" width="10.1818181818182" style="9" customWidth="1"/>
    <col min="7175" max="7175" width="16.4545454545455" style="9" customWidth="1"/>
    <col min="7176" max="7176" width="17.2727272727273" style="9" customWidth="1"/>
    <col min="7177" max="7177" width="8.72727272727273" style="9"/>
    <col min="7178" max="7178" width="13.7272727272727" style="9" customWidth="1"/>
    <col min="7179" max="7424" width="8.72727272727273" style="9"/>
    <col min="7425" max="7425" width="6.18181818181818" style="9" customWidth="1"/>
    <col min="7426" max="7426" width="20.7272727272727" style="9" customWidth="1"/>
    <col min="7427" max="7430" width="10.1818181818182" style="9" customWidth="1"/>
    <col min="7431" max="7431" width="16.4545454545455" style="9" customWidth="1"/>
    <col min="7432" max="7432" width="17.2727272727273" style="9" customWidth="1"/>
    <col min="7433" max="7433" width="8.72727272727273" style="9"/>
    <col min="7434" max="7434" width="13.7272727272727" style="9" customWidth="1"/>
    <col min="7435" max="7680" width="8.72727272727273" style="9"/>
    <col min="7681" max="7681" width="6.18181818181818" style="9" customWidth="1"/>
    <col min="7682" max="7682" width="20.7272727272727" style="9" customWidth="1"/>
    <col min="7683" max="7686" width="10.1818181818182" style="9" customWidth="1"/>
    <col min="7687" max="7687" width="16.4545454545455" style="9" customWidth="1"/>
    <col min="7688" max="7688" width="17.2727272727273" style="9" customWidth="1"/>
    <col min="7689" max="7689" width="8.72727272727273" style="9"/>
    <col min="7690" max="7690" width="13.7272727272727" style="9" customWidth="1"/>
    <col min="7691" max="7936" width="8.72727272727273" style="9"/>
    <col min="7937" max="7937" width="6.18181818181818" style="9" customWidth="1"/>
    <col min="7938" max="7938" width="20.7272727272727" style="9" customWidth="1"/>
    <col min="7939" max="7942" width="10.1818181818182" style="9" customWidth="1"/>
    <col min="7943" max="7943" width="16.4545454545455" style="9" customWidth="1"/>
    <col min="7944" max="7944" width="17.2727272727273" style="9" customWidth="1"/>
    <col min="7945" max="7945" width="8.72727272727273" style="9"/>
    <col min="7946" max="7946" width="13.7272727272727" style="9" customWidth="1"/>
    <col min="7947" max="8192" width="8.72727272727273" style="9"/>
    <col min="8193" max="8193" width="6.18181818181818" style="9" customWidth="1"/>
    <col min="8194" max="8194" width="20.7272727272727" style="9" customWidth="1"/>
    <col min="8195" max="8198" width="10.1818181818182" style="9" customWidth="1"/>
    <col min="8199" max="8199" width="16.4545454545455" style="9" customWidth="1"/>
    <col min="8200" max="8200" width="17.2727272727273" style="9" customWidth="1"/>
    <col min="8201" max="8201" width="8.72727272727273" style="9"/>
    <col min="8202" max="8202" width="13.7272727272727" style="9" customWidth="1"/>
    <col min="8203" max="8448" width="8.72727272727273" style="9"/>
    <col min="8449" max="8449" width="6.18181818181818" style="9" customWidth="1"/>
    <col min="8450" max="8450" width="20.7272727272727" style="9" customWidth="1"/>
    <col min="8451" max="8454" width="10.1818181818182" style="9" customWidth="1"/>
    <col min="8455" max="8455" width="16.4545454545455" style="9" customWidth="1"/>
    <col min="8456" max="8456" width="17.2727272727273" style="9" customWidth="1"/>
    <col min="8457" max="8457" width="8.72727272727273" style="9"/>
    <col min="8458" max="8458" width="13.7272727272727" style="9" customWidth="1"/>
    <col min="8459" max="8704" width="8.72727272727273" style="9"/>
    <col min="8705" max="8705" width="6.18181818181818" style="9" customWidth="1"/>
    <col min="8706" max="8706" width="20.7272727272727" style="9" customWidth="1"/>
    <col min="8707" max="8710" width="10.1818181818182" style="9" customWidth="1"/>
    <col min="8711" max="8711" width="16.4545454545455" style="9" customWidth="1"/>
    <col min="8712" max="8712" width="17.2727272727273" style="9" customWidth="1"/>
    <col min="8713" max="8713" width="8.72727272727273" style="9"/>
    <col min="8714" max="8714" width="13.7272727272727" style="9" customWidth="1"/>
    <col min="8715" max="8960" width="8.72727272727273" style="9"/>
    <col min="8961" max="8961" width="6.18181818181818" style="9" customWidth="1"/>
    <col min="8962" max="8962" width="20.7272727272727" style="9" customWidth="1"/>
    <col min="8963" max="8966" width="10.1818181818182" style="9" customWidth="1"/>
    <col min="8967" max="8967" width="16.4545454545455" style="9" customWidth="1"/>
    <col min="8968" max="8968" width="17.2727272727273" style="9" customWidth="1"/>
    <col min="8969" max="8969" width="8.72727272727273" style="9"/>
    <col min="8970" max="8970" width="13.7272727272727" style="9" customWidth="1"/>
    <col min="8971" max="9216" width="8.72727272727273" style="9"/>
    <col min="9217" max="9217" width="6.18181818181818" style="9" customWidth="1"/>
    <col min="9218" max="9218" width="20.7272727272727" style="9" customWidth="1"/>
    <col min="9219" max="9222" width="10.1818181818182" style="9" customWidth="1"/>
    <col min="9223" max="9223" width="16.4545454545455" style="9" customWidth="1"/>
    <col min="9224" max="9224" width="17.2727272727273" style="9" customWidth="1"/>
    <col min="9225" max="9225" width="8.72727272727273" style="9"/>
    <col min="9226" max="9226" width="13.7272727272727" style="9" customWidth="1"/>
    <col min="9227" max="9472" width="8.72727272727273" style="9"/>
    <col min="9473" max="9473" width="6.18181818181818" style="9" customWidth="1"/>
    <col min="9474" max="9474" width="20.7272727272727" style="9" customWidth="1"/>
    <col min="9475" max="9478" width="10.1818181818182" style="9" customWidth="1"/>
    <col min="9479" max="9479" width="16.4545454545455" style="9" customWidth="1"/>
    <col min="9480" max="9480" width="17.2727272727273" style="9" customWidth="1"/>
    <col min="9481" max="9481" width="8.72727272727273" style="9"/>
    <col min="9482" max="9482" width="13.7272727272727" style="9" customWidth="1"/>
    <col min="9483" max="9728" width="8.72727272727273" style="9"/>
    <col min="9729" max="9729" width="6.18181818181818" style="9" customWidth="1"/>
    <col min="9730" max="9730" width="20.7272727272727" style="9" customWidth="1"/>
    <col min="9731" max="9734" width="10.1818181818182" style="9" customWidth="1"/>
    <col min="9735" max="9735" width="16.4545454545455" style="9" customWidth="1"/>
    <col min="9736" max="9736" width="17.2727272727273" style="9" customWidth="1"/>
    <col min="9737" max="9737" width="8.72727272727273" style="9"/>
    <col min="9738" max="9738" width="13.7272727272727" style="9" customWidth="1"/>
    <col min="9739" max="9984" width="8.72727272727273" style="9"/>
    <col min="9985" max="9985" width="6.18181818181818" style="9" customWidth="1"/>
    <col min="9986" max="9986" width="20.7272727272727" style="9" customWidth="1"/>
    <col min="9987" max="9990" width="10.1818181818182" style="9" customWidth="1"/>
    <col min="9991" max="9991" width="16.4545454545455" style="9" customWidth="1"/>
    <col min="9992" max="9992" width="17.2727272727273" style="9" customWidth="1"/>
    <col min="9993" max="9993" width="8.72727272727273" style="9"/>
    <col min="9994" max="9994" width="13.7272727272727" style="9" customWidth="1"/>
    <col min="9995" max="10240" width="8.72727272727273" style="9"/>
    <col min="10241" max="10241" width="6.18181818181818" style="9" customWidth="1"/>
    <col min="10242" max="10242" width="20.7272727272727" style="9" customWidth="1"/>
    <col min="10243" max="10246" width="10.1818181818182" style="9" customWidth="1"/>
    <col min="10247" max="10247" width="16.4545454545455" style="9" customWidth="1"/>
    <col min="10248" max="10248" width="17.2727272727273" style="9" customWidth="1"/>
    <col min="10249" max="10249" width="8.72727272727273" style="9"/>
    <col min="10250" max="10250" width="13.7272727272727" style="9" customWidth="1"/>
    <col min="10251" max="10496" width="8.72727272727273" style="9"/>
    <col min="10497" max="10497" width="6.18181818181818" style="9" customWidth="1"/>
    <col min="10498" max="10498" width="20.7272727272727" style="9" customWidth="1"/>
    <col min="10499" max="10502" width="10.1818181818182" style="9" customWidth="1"/>
    <col min="10503" max="10503" width="16.4545454545455" style="9" customWidth="1"/>
    <col min="10504" max="10504" width="17.2727272727273" style="9" customWidth="1"/>
    <col min="10505" max="10505" width="8.72727272727273" style="9"/>
    <col min="10506" max="10506" width="13.7272727272727" style="9" customWidth="1"/>
    <col min="10507" max="10752" width="8.72727272727273" style="9"/>
    <col min="10753" max="10753" width="6.18181818181818" style="9" customWidth="1"/>
    <col min="10754" max="10754" width="20.7272727272727" style="9" customWidth="1"/>
    <col min="10755" max="10758" width="10.1818181818182" style="9" customWidth="1"/>
    <col min="10759" max="10759" width="16.4545454545455" style="9" customWidth="1"/>
    <col min="10760" max="10760" width="17.2727272727273" style="9" customWidth="1"/>
    <col min="10761" max="10761" width="8.72727272727273" style="9"/>
    <col min="10762" max="10762" width="13.7272727272727" style="9" customWidth="1"/>
    <col min="10763" max="11008" width="8.72727272727273" style="9"/>
    <col min="11009" max="11009" width="6.18181818181818" style="9" customWidth="1"/>
    <col min="11010" max="11010" width="20.7272727272727" style="9" customWidth="1"/>
    <col min="11011" max="11014" width="10.1818181818182" style="9" customWidth="1"/>
    <col min="11015" max="11015" width="16.4545454545455" style="9" customWidth="1"/>
    <col min="11016" max="11016" width="17.2727272727273" style="9" customWidth="1"/>
    <col min="11017" max="11017" width="8.72727272727273" style="9"/>
    <col min="11018" max="11018" width="13.7272727272727" style="9" customWidth="1"/>
    <col min="11019" max="11264" width="8.72727272727273" style="9"/>
    <col min="11265" max="11265" width="6.18181818181818" style="9" customWidth="1"/>
    <col min="11266" max="11266" width="20.7272727272727" style="9" customWidth="1"/>
    <col min="11267" max="11270" width="10.1818181818182" style="9" customWidth="1"/>
    <col min="11271" max="11271" width="16.4545454545455" style="9" customWidth="1"/>
    <col min="11272" max="11272" width="17.2727272727273" style="9" customWidth="1"/>
    <col min="11273" max="11273" width="8.72727272727273" style="9"/>
    <col min="11274" max="11274" width="13.7272727272727" style="9" customWidth="1"/>
    <col min="11275" max="11520" width="8.72727272727273" style="9"/>
    <col min="11521" max="11521" width="6.18181818181818" style="9" customWidth="1"/>
    <col min="11522" max="11522" width="20.7272727272727" style="9" customWidth="1"/>
    <col min="11523" max="11526" width="10.1818181818182" style="9" customWidth="1"/>
    <col min="11527" max="11527" width="16.4545454545455" style="9" customWidth="1"/>
    <col min="11528" max="11528" width="17.2727272727273" style="9" customWidth="1"/>
    <col min="11529" max="11529" width="8.72727272727273" style="9"/>
    <col min="11530" max="11530" width="13.7272727272727" style="9" customWidth="1"/>
    <col min="11531" max="11776" width="8.72727272727273" style="9"/>
    <col min="11777" max="11777" width="6.18181818181818" style="9" customWidth="1"/>
    <col min="11778" max="11778" width="20.7272727272727" style="9" customWidth="1"/>
    <col min="11779" max="11782" width="10.1818181818182" style="9" customWidth="1"/>
    <col min="11783" max="11783" width="16.4545454545455" style="9" customWidth="1"/>
    <col min="11784" max="11784" width="17.2727272727273" style="9" customWidth="1"/>
    <col min="11785" max="11785" width="8.72727272727273" style="9"/>
    <col min="11786" max="11786" width="13.7272727272727" style="9" customWidth="1"/>
    <col min="11787" max="12032" width="8.72727272727273" style="9"/>
    <col min="12033" max="12033" width="6.18181818181818" style="9" customWidth="1"/>
    <col min="12034" max="12034" width="20.7272727272727" style="9" customWidth="1"/>
    <col min="12035" max="12038" width="10.1818181818182" style="9" customWidth="1"/>
    <col min="12039" max="12039" width="16.4545454545455" style="9" customWidth="1"/>
    <col min="12040" max="12040" width="17.2727272727273" style="9" customWidth="1"/>
    <col min="12041" max="12041" width="8.72727272727273" style="9"/>
    <col min="12042" max="12042" width="13.7272727272727" style="9" customWidth="1"/>
    <col min="12043" max="12288" width="8.72727272727273" style="9"/>
    <col min="12289" max="12289" width="6.18181818181818" style="9" customWidth="1"/>
    <col min="12290" max="12290" width="20.7272727272727" style="9" customWidth="1"/>
    <col min="12291" max="12294" width="10.1818181818182" style="9" customWidth="1"/>
    <col min="12295" max="12295" width="16.4545454545455" style="9" customWidth="1"/>
    <col min="12296" max="12296" width="17.2727272727273" style="9" customWidth="1"/>
    <col min="12297" max="12297" width="8.72727272727273" style="9"/>
    <col min="12298" max="12298" width="13.7272727272727" style="9" customWidth="1"/>
    <col min="12299" max="12544" width="8.72727272727273" style="9"/>
    <col min="12545" max="12545" width="6.18181818181818" style="9" customWidth="1"/>
    <col min="12546" max="12546" width="20.7272727272727" style="9" customWidth="1"/>
    <col min="12547" max="12550" width="10.1818181818182" style="9" customWidth="1"/>
    <col min="12551" max="12551" width="16.4545454545455" style="9" customWidth="1"/>
    <col min="12552" max="12552" width="17.2727272727273" style="9" customWidth="1"/>
    <col min="12553" max="12553" width="8.72727272727273" style="9"/>
    <col min="12554" max="12554" width="13.7272727272727" style="9" customWidth="1"/>
    <col min="12555" max="12800" width="8.72727272727273" style="9"/>
    <col min="12801" max="12801" width="6.18181818181818" style="9" customWidth="1"/>
    <col min="12802" max="12802" width="20.7272727272727" style="9" customWidth="1"/>
    <col min="12803" max="12806" width="10.1818181818182" style="9" customWidth="1"/>
    <col min="12807" max="12807" width="16.4545454545455" style="9" customWidth="1"/>
    <col min="12808" max="12808" width="17.2727272727273" style="9" customWidth="1"/>
    <col min="12809" max="12809" width="8.72727272727273" style="9"/>
    <col min="12810" max="12810" width="13.7272727272727" style="9" customWidth="1"/>
    <col min="12811" max="13056" width="8.72727272727273" style="9"/>
    <col min="13057" max="13057" width="6.18181818181818" style="9" customWidth="1"/>
    <col min="13058" max="13058" width="20.7272727272727" style="9" customWidth="1"/>
    <col min="13059" max="13062" width="10.1818181818182" style="9" customWidth="1"/>
    <col min="13063" max="13063" width="16.4545454545455" style="9" customWidth="1"/>
    <col min="13064" max="13064" width="17.2727272727273" style="9" customWidth="1"/>
    <col min="13065" max="13065" width="8.72727272727273" style="9"/>
    <col min="13066" max="13066" width="13.7272727272727" style="9" customWidth="1"/>
    <col min="13067" max="13312" width="8.72727272727273" style="9"/>
    <col min="13313" max="13313" width="6.18181818181818" style="9" customWidth="1"/>
    <col min="13314" max="13314" width="20.7272727272727" style="9" customWidth="1"/>
    <col min="13315" max="13318" width="10.1818181818182" style="9" customWidth="1"/>
    <col min="13319" max="13319" width="16.4545454545455" style="9" customWidth="1"/>
    <col min="13320" max="13320" width="17.2727272727273" style="9" customWidth="1"/>
    <col min="13321" max="13321" width="8.72727272727273" style="9"/>
    <col min="13322" max="13322" width="13.7272727272727" style="9" customWidth="1"/>
    <col min="13323" max="13568" width="8.72727272727273" style="9"/>
    <col min="13569" max="13569" width="6.18181818181818" style="9" customWidth="1"/>
    <col min="13570" max="13570" width="20.7272727272727" style="9" customWidth="1"/>
    <col min="13571" max="13574" width="10.1818181818182" style="9" customWidth="1"/>
    <col min="13575" max="13575" width="16.4545454545455" style="9" customWidth="1"/>
    <col min="13576" max="13576" width="17.2727272727273" style="9" customWidth="1"/>
    <col min="13577" max="13577" width="8.72727272727273" style="9"/>
    <col min="13578" max="13578" width="13.7272727272727" style="9" customWidth="1"/>
    <col min="13579" max="13824" width="8.72727272727273" style="9"/>
    <col min="13825" max="13825" width="6.18181818181818" style="9" customWidth="1"/>
    <col min="13826" max="13826" width="20.7272727272727" style="9" customWidth="1"/>
    <col min="13827" max="13830" width="10.1818181818182" style="9" customWidth="1"/>
    <col min="13831" max="13831" width="16.4545454545455" style="9" customWidth="1"/>
    <col min="13832" max="13832" width="17.2727272727273" style="9" customWidth="1"/>
    <col min="13833" max="13833" width="8.72727272727273" style="9"/>
    <col min="13834" max="13834" width="13.7272727272727" style="9" customWidth="1"/>
    <col min="13835" max="14080" width="8.72727272727273" style="9"/>
    <col min="14081" max="14081" width="6.18181818181818" style="9" customWidth="1"/>
    <col min="14082" max="14082" width="20.7272727272727" style="9" customWidth="1"/>
    <col min="14083" max="14086" width="10.1818181818182" style="9" customWidth="1"/>
    <col min="14087" max="14087" width="16.4545454545455" style="9" customWidth="1"/>
    <col min="14088" max="14088" width="17.2727272727273" style="9" customWidth="1"/>
    <col min="14089" max="14089" width="8.72727272727273" style="9"/>
    <col min="14090" max="14090" width="13.7272727272727" style="9" customWidth="1"/>
    <col min="14091" max="14336" width="8.72727272727273" style="9"/>
    <col min="14337" max="14337" width="6.18181818181818" style="9" customWidth="1"/>
    <col min="14338" max="14338" width="20.7272727272727" style="9" customWidth="1"/>
    <col min="14339" max="14342" width="10.1818181818182" style="9" customWidth="1"/>
    <col min="14343" max="14343" width="16.4545454545455" style="9" customWidth="1"/>
    <col min="14344" max="14344" width="17.2727272727273" style="9" customWidth="1"/>
    <col min="14345" max="14345" width="8.72727272727273" style="9"/>
    <col min="14346" max="14346" width="13.7272727272727" style="9" customWidth="1"/>
    <col min="14347" max="14592" width="8.72727272727273" style="9"/>
    <col min="14593" max="14593" width="6.18181818181818" style="9" customWidth="1"/>
    <col min="14594" max="14594" width="20.7272727272727" style="9" customWidth="1"/>
    <col min="14595" max="14598" width="10.1818181818182" style="9" customWidth="1"/>
    <col min="14599" max="14599" width="16.4545454545455" style="9" customWidth="1"/>
    <col min="14600" max="14600" width="17.2727272727273" style="9" customWidth="1"/>
    <col min="14601" max="14601" width="8.72727272727273" style="9"/>
    <col min="14602" max="14602" width="13.7272727272727" style="9" customWidth="1"/>
    <col min="14603" max="14848" width="8.72727272727273" style="9"/>
    <col min="14849" max="14849" width="6.18181818181818" style="9" customWidth="1"/>
    <col min="14850" max="14850" width="20.7272727272727" style="9" customWidth="1"/>
    <col min="14851" max="14854" width="10.1818181818182" style="9" customWidth="1"/>
    <col min="14855" max="14855" width="16.4545454545455" style="9" customWidth="1"/>
    <col min="14856" max="14856" width="17.2727272727273" style="9" customWidth="1"/>
    <col min="14857" max="14857" width="8.72727272727273" style="9"/>
    <col min="14858" max="14858" width="13.7272727272727" style="9" customWidth="1"/>
    <col min="14859" max="15104" width="8.72727272727273" style="9"/>
    <col min="15105" max="15105" width="6.18181818181818" style="9" customWidth="1"/>
    <col min="15106" max="15106" width="20.7272727272727" style="9" customWidth="1"/>
    <col min="15107" max="15110" width="10.1818181818182" style="9" customWidth="1"/>
    <col min="15111" max="15111" width="16.4545454545455" style="9" customWidth="1"/>
    <col min="15112" max="15112" width="17.2727272727273" style="9" customWidth="1"/>
    <col min="15113" max="15113" width="8.72727272727273" style="9"/>
    <col min="15114" max="15114" width="13.7272727272727" style="9" customWidth="1"/>
    <col min="15115" max="15360" width="8.72727272727273" style="9"/>
    <col min="15361" max="15361" width="6.18181818181818" style="9" customWidth="1"/>
    <col min="15362" max="15362" width="20.7272727272727" style="9" customWidth="1"/>
    <col min="15363" max="15366" width="10.1818181818182" style="9" customWidth="1"/>
    <col min="15367" max="15367" width="16.4545454545455" style="9" customWidth="1"/>
    <col min="15368" max="15368" width="17.2727272727273" style="9" customWidth="1"/>
    <col min="15369" max="15369" width="8.72727272727273" style="9"/>
    <col min="15370" max="15370" width="13.7272727272727" style="9" customWidth="1"/>
    <col min="15371" max="15616" width="8.72727272727273" style="9"/>
    <col min="15617" max="15617" width="6.18181818181818" style="9" customWidth="1"/>
    <col min="15618" max="15618" width="20.7272727272727" style="9" customWidth="1"/>
    <col min="15619" max="15622" width="10.1818181818182" style="9" customWidth="1"/>
    <col min="15623" max="15623" width="16.4545454545455" style="9" customWidth="1"/>
    <col min="15624" max="15624" width="17.2727272727273" style="9" customWidth="1"/>
    <col min="15625" max="15625" width="8.72727272727273" style="9"/>
    <col min="15626" max="15626" width="13.7272727272727" style="9" customWidth="1"/>
    <col min="15627" max="15872" width="8.72727272727273" style="9"/>
    <col min="15873" max="15873" width="6.18181818181818" style="9" customWidth="1"/>
    <col min="15874" max="15874" width="20.7272727272727" style="9" customWidth="1"/>
    <col min="15875" max="15878" width="10.1818181818182" style="9" customWidth="1"/>
    <col min="15879" max="15879" width="16.4545454545455" style="9" customWidth="1"/>
    <col min="15880" max="15880" width="17.2727272727273" style="9" customWidth="1"/>
    <col min="15881" max="15881" width="8.72727272727273" style="9"/>
    <col min="15882" max="15882" width="13.7272727272727" style="9" customWidth="1"/>
    <col min="15883" max="16128" width="8.72727272727273" style="9"/>
    <col min="16129" max="16129" width="6.18181818181818" style="9" customWidth="1"/>
    <col min="16130" max="16130" width="20.7272727272727" style="9" customWidth="1"/>
    <col min="16131" max="16134" width="10.1818181818182" style="9" customWidth="1"/>
    <col min="16135" max="16135" width="16.4545454545455" style="9" customWidth="1"/>
    <col min="16136" max="16136" width="17.2727272727273" style="9" customWidth="1"/>
    <col min="16137" max="16137" width="8.72727272727273" style="9"/>
    <col min="16138" max="16138" width="13.7272727272727" style="9" customWidth="1"/>
    <col min="16139" max="16384" width="8.72727272727273" style="9"/>
  </cols>
  <sheetData>
    <row r="1" s="8" customFormat="1" ht="19.5" customHeight="1" spans="1:3">
      <c r="A1" s="10" t="s">
        <v>0</v>
      </c>
      <c r="B1" s="11"/>
      <c r="C1" s="12"/>
    </row>
    <row r="2" s="8" customFormat="1" ht="19.5" customHeight="1" spans="1:3">
      <c r="A2" s="12"/>
      <c r="B2" s="12"/>
      <c r="C2" s="12"/>
    </row>
    <row r="3" s="8" customFormat="1" ht="13.5" customHeight="1" spans="1:3">
      <c r="A3" s="12"/>
      <c r="B3" s="12"/>
      <c r="C3" s="12"/>
    </row>
    <row r="4" s="9" customFormat="1" ht="15.5" spans="2:8">
      <c r="B4" s="39" t="s">
        <v>1</v>
      </c>
      <c r="C4" s="39"/>
      <c r="D4" s="39"/>
      <c r="E4" s="39"/>
      <c r="F4" s="39"/>
      <c r="G4" s="39"/>
      <c r="H4" s="39"/>
    </row>
    <row r="5" s="9" customFormat="1" ht="18" spans="2:8">
      <c r="B5" s="40" t="s">
        <v>2</v>
      </c>
      <c r="C5" s="40"/>
      <c r="D5" s="40"/>
      <c r="E5" s="40"/>
      <c r="F5" s="40"/>
      <c r="G5" s="40"/>
      <c r="H5" s="40"/>
    </row>
    <row r="6" s="9" customFormat="1" ht="13.25" spans="1:8">
      <c r="A6" s="41"/>
      <c r="B6" s="42" t="s">
        <v>3</v>
      </c>
      <c r="C6" s="43"/>
      <c r="D6" s="43"/>
      <c r="E6" s="43"/>
      <c r="F6" s="43"/>
      <c r="G6" s="43"/>
      <c r="H6" s="43"/>
    </row>
    <row r="9" s="9" customFormat="1" ht="13" spans="1:8">
      <c r="A9" s="14" t="s">
        <v>4</v>
      </c>
      <c r="B9" s="14"/>
      <c r="C9" s="14"/>
      <c r="D9" s="14"/>
      <c r="E9" s="14"/>
      <c r="F9" s="14"/>
      <c r="G9" s="14"/>
      <c r="H9" s="14"/>
    </row>
    <row r="10" ht="9.75" customHeight="1"/>
    <row r="11" s="38" customFormat="1" ht="21" customHeight="1" spans="1:8">
      <c r="A11" s="44" t="s">
        <v>5</v>
      </c>
      <c r="B11" s="45" t="s">
        <v>6</v>
      </c>
      <c r="C11" s="45" t="s">
        <v>7</v>
      </c>
      <c r="D11" s="45"/>
      <c r="E11" s="45"/>
      <c r="F11" s="45" t="s">
        <v>8</v>
      </c>
      <c r="G11" s="18" t="s">
        <v>9</v>
      </c>
      <c r="H11" s="46" t="s">
        <v>10</v>
      </c>
    </row>
    <row r="12" s="38" customFormat="1" ht="21" customHeight="1" spans="1:8">
      <c r="A12" s="47"/>
      <c r="B12" s="48"/>
      <c r="C12" s="48" t="s">
        <v>11</v>
      </c>
      <c r="D12" s="48" t="s">
        <v>12</v>
      </c>
      <c r="E12" s="48" t="s">
        <v>13</v>
      </c>
      <c r="F12" s="48"/>
      <c r="G12" s="20"/>
      <c r="H12" s="49"/>
    </row>
    <row r="13" s="38" customFormat="1" ht="4.5" customHeight="1"/>
    <row r="14" s="8" customFormat="1" ht="21" customHeight="1" spans="1:8">
      <c r="A14" s="50">
        <v>111</v>
      </c>
      <c r="B14" s="22" t="s">
        <v>14</v>
      </c>
      <c r="C14" s="23">
        <v>75</v>
      </c>
      <c r="D14" s="23">
        <v>80</v>
      </c>
      <c r="E14" s="23">
        <v>78</v>
      </c>
      <c r="F14" s="51">
        <f t="shared" ref="F14:F23" si="0">AVERAGE(C14:E23)</f>
        <v>76.3333333333333</v>
      </c>
      <c r="G14" s="52" t="str" cm="1">
        <f t="array" ref="G14">_xlfn.IFS(F14&gt;=80,"A",F14&gt;=70,"B",F14&gt;=60,"C",F14&lt;60,"D")</f>
        <v>B</v>
      </c>
      <c r="H14" s="52" t="str">
        <f t="shared" ref="H14:H23" si="1">IF(F14&gt;=70,"LULUS","TIDAK LULUS")</f>
        <v>LULUS</v>
      </c>
    </row>
    <row r="15" s="8" customFormat="1" ht="21" customHeight="1" spans="1:8">
      <c r="A15" s="53">
        <v>112</v>
      </c>
      <c r="B15" s="54" t="s">
        <v>15</v>
      </c>
      <c r="C15" s="26">
        <v>75</v>
      </c>
      <c r="D15" s="26">
        <v>85</v>
      </c>
      <c r="E15" s="26">
        <v>77</v>
      </c>
      <c r="F15" s="51">
        <f t="shared" si="0"/>
        <v>76.1851851851852</v>
      </c>
      <c r="G15" s="52" t="str" cm="1">
        <f t="array" ref="G15">_xlfn.IFS(F15&gt;=80,"A",F15&gt;=70,"B",F15&gt;=60,"C",F15&lt;60,"D")</f>
        <v>B</v>
      </c>
      <c r="H15" s="52" t="str">
        <f t="shared" si="1"/>
        <v>LULUS</v>
      </c>
    </row>
    <row r="16" s="8" customFormat="1" ht="21" customHeight="1" spans="1:8">
      <c r="A16" s="53">
        <v>113</v>
      </c>
      <c r="B16" s="25" t="s">
        <v>16</v>
      </c>
      <c r="C16" s="26">
        <v>70</v>
      </c>
      <c r="D16" s="26">
        <v>70</v>
      </c>
      <c r="E16" s="26">
        <v>70</v>
      </c>
      <c r="F16" s="51">
        <f t="shared" si="0"/>
        <v>75.8333333333333</v>
      </c>
      <c r="G16" s="52" t="str" cm="1">
        <f t="array" ref="G16">_xlfn.IFS(F16&gt;=80,"A",F16&gt;=70,"B",F16&gt;=60,"C",F16&lt;60,"D")</f>
        <v>B</v>
      </c>
      <c r="H16" s="52" t="str">
        <f t="shared" si="1"/>
        <v>LULUS</v>
      </c>
    </row>
    <row r="17" s="8" customFormat="1" ht="21" customHeight="1" spans="1:8">
      <c r="A17" s="53">
        <v>114</v>
      </c>
      <c r="B17" s="25" t="s">
        <v>17</v>
      </c>
      <c r="C17" s="26">
        <v>70</v>
      </c>
      <c r="D17" s="26">
        <v>65</v>
      </c>
      <c r="E17" s="26">
        <v>60</v>
      </c>
      <c r="F17" s="51">
        <f t="shared" si="0"/>
        <v>76.6666666666667</v>
      </c>
      <c r="G17" s="52" t="str" cm="1">
        <f t="array" ref="G17">_xlfn.IFS(F17&gt;=80,"A",F17&gt;=70,"B",F17&gt;=60,"C",F17&lt;60,"D")</f>
        <v>B</v>
      </c>
      <c r="H17" s="52" t="str">
        <f t="shared" si="1"/>
        <v>LULUS</v>
      </c>
    </row>
    <row r="18" s="8" customFormat="1" ht="21" customHeight="1" spans="1:8">
      <c r="A18" s="53">
        <v>115</v>
      </c>
      <c r="B18" s="25" t="s">
        <v>18</v>
      </c>
      <c r="C18" s="26">
        <v>75</v>
      </c>
      <c r="D18" s="26">
        <v>80</v>
      </c>
      <c r="E18" s="26">
        <v>70</v>
      </c>
      <c r="F18" s="51">
        <f t="shared" si="0"/>
        <v>78.6111111111111</v>
      </c>
      <c r="G18" s="52" t="str" cm="1">
        <f t="array" ref="G18">_xlfn.IFS(F18&gt;=80,"A",F18&gt;=70,"B",F18&gt;=60,"C",F18&lt;60,"D")</f>
        <v>B</v>
      </c>
      <c r="H18" s="52" t="str">
        <f t="shared" si="1"/>
        <v>LULUS</v>
      </c>
    </row>
    <row r="19" s="8" customFormat="1" ht="21" customHeight="1" spans="1:8">
      <c r="A19" s="53">
        <v>116</v>
      </c>
      <c r="B19" s="25" t="s">
        <v>19</v>
      </c>
      <c r="C19" s="26">
        <v>75</v>
      </c>
      <c r="D19" s="26">
        <v>80</v>
      </c>
      <c r="E19" s="26">
        <v>75</v>
      </c>
      <c r="F19" s="51">
        <f t="shared" si="0"/>
        <v>79.3333333333333</v>
      </c>
      <c r="G19" s="52" t="str" cm="1">
        <f t="array" ref="G19">_xlfn.IFS(F19&gt;=80,"A",F19&gt;=70,"B",F19&gt;=60,"C",F19&lt;60,"D")</f>
        <v>B</v>
      </c>
      <c r="H19" s="52" t="str">
        <f t="shared" si="1"/>
        <v>LULUS</v>
      </c>
    </row>
    <row r="20" s="8" customFormat="1" ht="21" customHeight="1" spans="1:8">
      <c r="A20" s="53">
        <v>117</v>
      </c>
      <c r="B20" s="25" t="s">
        <v>20</v>
      </c>
      <c r="C20" s="26">
        <v>90</v>
      </c>
      <c r="D20" s="26">
        <v>90</v>
      </c>
      <c r="E20" s="26">
        <v>85</v>
      </c>
      <c r="F20" s="51">
        <f t="shared" si="0"/>
        <v>80</v>
      </c>
      <c r="G20" s="52" t="str" cm="1">
        <f t="array" ref="G20">_xlfn.IFS(F20&gt;=80,"A",F20&gt;=70,"B",F20&gt;=60,"C",F20&lt;60,"D")</f>
        <v>A</v>
      </c>
      <c r="H20" s="52" t="str">
        <f t="shared" si="1"/>
        <v>LULUS</v>
      </c>
    </row>
    <row r="21" s="8" customFormat="1" ht="21" customHeight="1" spans="1:8">
      <c r="A21" s="53">
        <v>118</v>
      </c>
      <c r="B21" s="25" t="s">
        <v>21</v>
      </c>
      <c r="C21" s="26">
        <v>75</v>
      </c>
      <c r="D21" s="26">
        <v>75</v>
      </c>
      <c r="E21" s="26">
        <v>70</v>
      </c>
      <c r="F21" s="51">
        <f t="shared" si="0"/>
        <v>77.2222222222222</v>
      </c>
      <c r="G21" s="52" t="str" cm="1">
        <f t="array" ref="G21">_xlfn.IFS(F21&gt;=80,"A",F21&gt;=70,"B",F21&gt;=60,"C",F21&lt;60,"D")</f>
        <v>B</v>
      </c>
      <c r="H21" s="52" t="str">
        <f t="shared" si="1"/>
        <v>LULUS</v>
      </c>
    </row>
    <row r="22" s="8" customFormat="1" ht="21" customHeight="1" spans="1:8">
      <c r="A22" s="53">
        <v>119</v>
      </c>
      <c r="B22" s="25" t="s">
        <v>22</v>
      </c>
      <c r="C22" s="26">
        <v>70</v>
      </c>
      <c r="D22" s="26">
        <v>70</v>
      </c>
      <c r="E22" s="26">
        <v>70</v>
      </c>
      <c r="F22" s="51">
        <f t="shared" si="0"/>
        <v>79.1666666666667</v>
      </c>
      <c r="G22" s="52" t="str" cm="1">
        <f t="array" ref="G22">_xlfn.IFS(F22&gt;=80,"A",F22&gt;=70,"B",F22&gt;=60,"C",F22&lt;60,"D")</f>
        <v>B</v>
      </c>
      <c r="H22" s="52" t="str">
        <f t="shared" si="1"/>
        <v>LULUS</v>
      </c>
    </row>
    <row r="23" s="8" customFormat="1" ht="21" customHeight="1" spans="1:8">
      <c r="A23" s="55">
        <v>120</v>
      </c>
      <c r="B23" s="28" t="s">
        <v>23</v>
      </c>
      <c r="C23" s="29">
        <v>90</v>
      </c>
      <c r="D23" s="29">
        <v>90</v>
      </c>
      <c r="E23" s="29">
        <v>85</v>
      </c>
      <c r="F23" s="51">
        <f t="shared" si="0"/>
        <v>88.3333333333333</v>
      </c>
      <c r="G23" s="52" t="str" cm="1">
        <f t="array" ref="G23">_xlfn.IFS(F23&gt;=80,"A",F23&gt;=70,"B",F23&gt;=60,"C",F23&lt;60,"D")</f>
        <v>A</v>
      </c>
      <c r="H23" s="52" t="str">
        <f t="shared" si="1"/>
        <v>LULUS</v>
      </c>
    </row>
    <row r="24" s="9" customFormat="1" ht="4.5" customHeight="1" spans="1:8">
      <c r="A24" s="56"/>
      <c r="B24" s="57"/>
      <c r="C24" s="57"/>
      <c r="D24" s="57"/>
      <c r="E24" s="57"/>
      <c r="F24" s="57"/>
      <c r="G24" s="57"/>
      <c r="H24" s="58"/>
    </row>
    <row r="25" ht="13.25"/>
    <row r="29" s="9" customFormat="1" spans="1:1">
      <c r="A29" s="9" t="s">
        <v>24</v>
      </c>
    </row>
    <row r="30" s="9" customFormat="1" spans="1:1">
      <c r="A30" s="9" t="s">
        <v>25</v>
      </c>
    </row>
    <row r="31" s="9" customFormat="1" spans="1:1">
      <c r="A31" s="9" t="s">
        <v>26</v>
      </c>
    </row>
    <row r="32" s="9" customFormat="1" spans="1:1">
      <c r="A32" s="59" t="s">
        <v>27</v>
      </c>
    </row>
    <row r="33" s="9" customFormat="1" spans="1:1">
      <c r="A33" s="9" t="s">
        <v>28</v>
      </c>
    </row>
    <row r="34" s="9" customFormat="1" spans="1:1">
      <c r="A34" s="9" t="s">
        <v>29</v>
      </c>
    </row>
    <row r="35" s="9" customFormat="1" spans="1:1">
      <c r="A35" s="9" t="s">
        <v>30</v>
      </c>
    </row>
    <row r="36" s="9" customFormat="1" spans="1:1">
      <c r="A36" s="9" t="s">
        <v>31</v>
      </c>
    </row>
    <row r="38" s="9" customFormat="1" ht="13" spans="1:8">
      <c r="A38" s="14" t="s">
        <v>32</v>
      </c>
      <c r="B38" s="14"/>
      <c r="C38" s="14"/>
      <c r="D38" s="14"/>
      <c r="E38" s="14"/>
      <c r="F38" s="14"/>
      <c r="G38" s="14"/>
      <c r="H38" s="14"/>
    </row>
  </sheetData>
  <mergeCells count="12">
    <mergeCell ref="A1:B1"/>
    <mergeCell ref="B4:H4"/>
    <mergeCell ref="B5:H5"/>
    <mergeCell ref="B6:H6"/>
    <mergeCell ref="A9:H9"/>
    <mergeCell ref="C11:E11"/>
    <mergeCell ref="A38:H38"/>
    <mergeCell ref="A11:A12"/>
    <mergeCell ref="B11:B12"/>
    <mergeCell ref="F11:F12"/>
    <mergeCell ref="G11:G12"/>
    <mergeCell ref="H11:H1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U24"/>
  <sheetViews>
    <sheetView zoomScale="90" zoomScaleNormal="90" topLeftCell="B3" workbookViewId="0">
      <selection activeCell="G12" sqref="G12"/>
    </sheetView>
  </sheetViews>
  <sheetFormatPr defaultColWidth="9" defaultRowHeight="12.5"/>
  <cols>
    <col min="1" max="2" width="8.72727272727273" style="9"/>
    <col min="3" max="3" width="4.27272727272727" style="9" customWidth="1"/>
    <col min="4" max="4" width="20.2727272727273" style="9" customWidth="1"/>
    <col min="5" max="5" width="6.81818181818182" style="9" customWidth="1"/>
    <col min="6" max="6" width="10.4545454545455" style="9" customWidth="1"/>
    <col min="7" max="7" width="11.2727272727273" style="9" customWidth="1"/>
    <col min="8" max="9" width="7.81818181818182" style="9" customWidth="1"/>
    <col min="10" max="10" width="9.18181818181818" style="9" customWidth="1"/>
    <col min="11" max="11" width="12.7272727272727" style="9" customWidth="1"/>
    <col min="12" max="258" width="8.72727272727273" style="9"/>
    <col min="259" max="259" width="4.27272727272727" style="9" customWidth="1"/>
    <col min="260" max="260" width="20.2727272727273" style="9" customWidth="1"/>
    <col min="261" max="261" width="6.81818181818182" style="9" customWidth="1"/>
    <col min="262" max="262" width="10.4545454545455" style="9" customWidth="1"/>
    <col min="263" max="263" width="11.2727272727273" style="9" customWidth="1"/>
    <col min="264" max="265" width="7.81818181818182" style="9" customWidth="1"/>
    <col min="266" max="266" width="9.18181818181818" style="9" customWidth="1"/>
    <col min="267" max="267" width="12.7272727272727" style="9" customWidth="1"/>
    <col min="268" max="514" width="8.72727272727273" style="9"/>
    <col min="515" max="515" width="4.27272727272727" style="9" customWidth="1"/>
    <col min="516" max="516" width="20.2727272727273" style="9" customWidth="1"/>
    <col min="517" max="517" width="6.81818181818182" style="9" customWidth="1"/>
    <col min="518" max="518" width="10.4545454545455" style="9" customWidth="1"/>
    <col min="519" max="519" width="11.2727272727273" style="9" customWidth="1"/>
    <col min="520" max="521" width="7.81818181818182" style="9" customWidth="1"/>
    <col min="522" max="522" width="9.18181818181818" style="9" customWidth="1"/>
    <col min="523" max="523" width="12.7272727272727" style="9" customWidth="1"/>
    <col min="524" max="770" width="8.72727272727273" style="9"/>
    <col min="771" max="771" width="4.27272727272727" style="9" customWidth="1"/>
    <col min="772" max="772" width="20.2727272727273" style="9" customWidth="1"/>
    <col min="773" max="773" width="6.81818181818182" style="9" customWidth="1"/>
    <col min="774" max="774" width="10.4545454545455" style="9" customWidth="1"/>
    <col min="775" max="775" width="11.2727272727273" style="9" customWidth="1"/>
    <col min="776" max="777" width="7.81818181818182" style="9" customWidth="1"/>
    <col min="778" max="778" width="9.18181818181818" style="9" customWidth="1"/>
    <col min="779" max="779" width="12.7272727272727" style="9" customWidth="1"/>
    <col min="780" max="1026" width="8.72727272727273" style="9"/>
    <col min="1027" max="1027" width="4.27272727272727" style="9" customWidth="1"/>
    <col min="1028" max="1028" width="20.2727272727273" style="9" customWidth="1"/>
    <col min="1029" max="1029" width="6.81818181818182" style="9" customWidth="1"/>
    <col min="1030" max="1030" width="10.4545454545455" style="9" customWidth="1"/>
    <col min="1031" max="1031" width="11.2727272727273" style="9" customWidth="1"/>
    <col min="1032" max="1033" width="7.81818181818182" style="9" customWidth="1"/>
    <col min="1034" max="1034" width="9.18181818181818" style="9" customWidth="1"/>
    <col min="1035" max="1035" width="12.7272727272727" style="9" customWidth="1"/>
    <col min="1036" max="1282" width="8.72727272727273" style="9"/>
    <col min="1283" max="1283" width="4.27272727272727" style="9" customWidth="1"/>
    <col min="1284" max="1284" width="20.2727272727273" style="9" customWidth="1"/>
    <col min="1285" max="1285" width="6.81818181818182" style="9" customWidth="1"/>
    <col min="1286" max="1286" width="10.4545454545455" style="9" customWidth="1"/>
    <col min="1287" max="1287" width="11.2727272727273" style="9" customWidth="1"/>
    <col min="1288" max="1289" width="7.81818181818182" style="9" customWidth="1"/>
    <col min="1290" max="1290" width="9.18181818181818" style="9" customWidth="1"/>
    <col min="1291" max="1291" width="12.7272727272727" style="9" customWidth="1"/>
    <col min="1292" max="1538" width="8.72727272727273" style="9"/>
    <col min="1539" max="1539" width="4.27272727272727" style="9" customWidth="1"/>
    <col min="1540" max="1540" width="20.2727272727273" style="9" customWidth="1"/>
    <col min="1541" max="1541" width="6.81818181818182" style="9" customWidth="1"/>
    <col min="1542" max="1542" width="10.4545454545455" style="9" customWidth="1"/>
    <col min="1543" max="1543" width="11.2727272727273" style="9" customWidth="1"/>
    <col min="1544" max="1545" width="7.81818181818182" style="9" customWidth="1"/>
    <col min="1546" max="1546" width="9.18181818181818" style="9" customWidth="1"/>
    <col min="1547" max="1547" width="12.7272727272727" style="9" customWidth="1"/>
    <col min="1548" max="1794" width="8.72727272727273" style="9"/>
    <col min="1795" max="1795" width="4.27272727272727" style="9" customWidth="1"/>
    <col min="1796" max="1796" width="20.2727272727273" style="9" customWidth="1"/>
    <col min="1797" max="1797" width="6.81818181818182" style="9" customWidth="1"/>
    <col min="1798" max="1798" width="10.4545454545455" style="9" customWidth="1"/>
    <col min="1799" max="1799" width="11.2727272727273" style="9" customWidth="1"/>
    <col min="1800" max="1801" width="7.81818181818182" style="9" customWidth="1"/>
    <col min="1802" max="1802" width="9.18181818181818" style="9" customWidth="1"/>
    <col min="1803" max="1803" width="12.7272727272727" style="9" customWidth="1"/>
    <col min="1804" max="2050" width="8.72727272727273" style="9"/>
    <col min="2051" max="2051" width="4.27272727272727" style="9" customWidth="1"/>
    <col min="2052" max="2052" width="20.2727272727273" style="9" customWidth="1"/>
    <col min="2053" max="2053" width="6.81818181818182" style="9" customWidth="1"/>
    <col min="2054" max="2054" width="10.4545454545455" style="9" customWidth="1"/>
    <col min="2055" max="2055" width="11.2727272727273" style="9" customWidth="1"/>
    <col min="2056" max="2057" width="7.81818181818182" style="9" customWidth="1"/>
    <col min="2058" max="2058" width="9.18181818181818" style="9" customWidth="1"/>
    <col min="2059" max="2059" width="12.7272727272727" style="9" customWidth="1"/>
    <col min="2060" max="2306" width="8.72727272727273" style="9"/>
    <col min="2307" max="2307" width="4.27272727272727" style="9" customWidth="1"/>
    <col min="2308" max="2308" width="20.2727272727273" style="9" customWidth="1"/>
    <col min="2309" max="2309" width="6.81818181818182" style="9" customWidth="1"/>
    <col min="2310" max="2310" width="10.4545454545455" style="9" customWidth="1"/>
    <col min="2311" max="2311" width="11.2727272727273" style="9" customWidth="1"/>
    <col min="2312" max="2313" width="7.81818181818182" style="9" customWidth="1"/>
    <col min="2314" max="2314" width="9.18181818181818" style="9" customWidth="1"/>
    <col min="2315" max="2315" width="12.7272727272727" style="9" customWidth="1"/>
    <col min="2316" max="2562" width="8.72727272727273" style="9"/>
    <col min="2563" max="2563" width="4.27272727272727" style="9" customWidth="1"/>
    <col min="2564" max="2564" width="20.2727272727273" style="9" customWidth="1"/>
    <col min="2565" max="2565" width="6.81818181818182" style="9" customWidth="1"/>
    <col min="2566" max="2566" width="10.4545454545455" style="9" customWidth="1"/>
    <col min="2567" max="2567" width="11.2727272727273" style="9" customWidth="1"/>
    <col min="2568" max="2569" width="7.81818181818182" style="9" customWidth="1"/>
    <col min="2570" max="2570" width="9.18181818181818" style="9" customWidth="1"/>
    <col min="2571" max="2571" width="12.7272727272727" style="9" customWidth="1"/>
    <col min="2572" max="2818" width="8.72727272727273" style="9"/>
    <col min="2819" max="2819" width="4.27272727272727" style="9" customWidth="1"/>
    <col min="2820" max="2820" width="20.2727272727273" style="9" customWidth="1"/>
    <col min="2821" max="2821" width="6.81818181818182" style="9" customWidth="1"/>
    <col min="2822" max="2822" width="10.4545454545455" style="9" customWidth="1"/>
    <col min="2823" max="2823" width="11.2727272727273" style="9" customWidth="1"/>
    <col min="2824" max="2825" width="7.81818181818182" style="9" customWidth="1"/>
    <col min="2826" max="2826" width="9.18181818181818" style="9" customWidth="1"/>
    <col min="2827" max="2827" width="12.7272727272727" style="9" customWidth="1"/>
    <col min="2828" max="3074" width="8.72727272727273" style="9"/>
    <col min="3075" max="3075" width="4.27272727272727" style="9" customWidth="1"/>
    <col min="3076" max="3076" width="20.2727272727273" style="9" customWidth="1"/>
    <col min="3077" max="3077" width="6.81818181818182" style="9" customWidth="1"/>
    <col min="3078" max="3078" width="10.4545454545455" style="9" customWidth="1"/>
    <col min="3079" max="3079" width="11.2727272727273" style="9" customWidth="1"/>
    <col min="3080" max="3081" width="7.81818181818182" style="9" customWidth="1"/>
    <col min="3082" max="3082" width="9.18181818181818" style="9" customWidth="1"/>
    <col min="3083" max="3083" width="12.7272727272727" style="9" customWidth="1"/>
    <col min="3084" max="3330" width="8.72727272727273" style="9"/>
    <col min="3331" max="3331" width="4.27272727272727" style="9" customWidth="1"/>
    <col min="3332" max="3332" width="20.2727272727273" style="9" customWidth="1"/>
    <col min="3333" max="3333" width="6.81818181818182" style="9" customWidth="1"/>
    <col min="3334" max="3334" width="10.4545454545455" style="9" customWidth="1"/>
    <col min="3335" max="3335" width="11.2727272727273" style="9" customWidth="1"/>
    <col min="3336" max="3337" width="7.81818181818182" style="9" customWidth="1"/>
    <col min="3338" max="3338" width="9.18181818181818" style="9" customWidth="1"/>
    <col min="3339" max="3339" width="12.7272727272727" style="9" customWidth="1"/>
    <col min="3340" max="3586" width="8.72727272727273" style="9"/>
    <col min="3587" max="3587" width="4.27272727272727" style="9" customWidth="1"/>
    <col min="3588" max="3588" width="20.2727272727273" style="9" customWidth="1"/>
    <col min="3589" max="3589" width="6.81818181818182" style="9" customWidth="1"/>
    <col min="3590" max="3590" width="10.4545454545455" style="9" customWidth="1"/>
    <col min="3591" max="3591" width="11.2727272727273" style="9" customWidth="1"/>
    <col min="3592" max="3593" width="7.81818181818182" style="9" customWidth="1"/>
    <col min="3594" max="3594" width="9.18181818181818" style="9" customWidth="1"/>
    <col min="3595" max="3595" width="12.7272727272727" style="9" customWidth="1"/>
    <col min="3596" max="3842" width="8.72727272727273" style="9"/>
    <col min="3843" max="3843" width="4.27272727272727" style="9" customWidth="1"/>
    <col min="3844" max="3844" width="20.2727272727273" style="9" customWidth="1"/>
    <col min="3845" max="3845" width="6.81818181818182" style="9" customWidth="1"/>
    <col min="3846" max="3846" width="10.4545454545455" style="9" customWidth="1"/>
    <col min="3847" max="3847" width="11.2727272727273" style="9" customWidth="1"/>
    <col min="3848" max="3849" width="7.81818181818182" style="9" customWidth="1"/>
    <col min="3850" max="3850" width="9.18181818181818" style="9" customWidth="1"/>
    <col min="3851" max="3851" width="12.7272727272727" style="9" customWidth="1"/>
    <col min="3852" max="4098" width="8.72727272727273" style="9"/>
    <col min="4099" max="4099" width="4.27272727272727" style="9" customWidth="1"/>
    <col min="4100" max="4100" width="20.2727272727273" style="9" customWidth="1"/>
    <col min="4101" max="4101" width="6.81818181818182" style="9" customWidth="1"/>
    <col min="4102" max="4102" width="10.4545454545455" style="9" customWidth="1"/>
    <col min="4103" max="4103" width="11.2727272727273" style="9" customWidth="1"/>
    <col min="4104" max="4105" width="7.81818181818182" style="9" customWidth="1"/>
    <col min="4106" max="4106" width="9.18181818181818" style="9" customWidth="1"/>
    <col min="4107" max="4107" width="12.7272727272727" style="9" customWidth="1"/>
    <col min="4108" max="4354" width="8.72727272727273" style="9"/>
    <col min="4355" max="4355" width="4.27272727272727" style="9" customWidth="1"/>
    <col min="4356" max="4356" width="20.2727272727273" style="9" customWidth="1"/>
    <col min="4357" max="4357" width="6.81818181818182" style="9" customWidth="1"/>
    <col min="4358" max="4358" width="10.4545454545455" style="9" customWidth="1"/>
    <col min="4359" max="4359" width="11.2727272727273" style="9" customWidth="1"/>
    <col min="4360" max="4361" width="7.81818181818182" style="9" customWidth="1"/>
    <col min="4362" max="4362" width="9.18181818181818" style="9" customWidth="1"/>
    <col min="4363" max="4363" width="12.7272727272727" style="9" customWidth="1"/>
    <col min="4364" max="4610" width="8.72727272727273" style="9"/>
    <col min="4611" max="4611" width="4.27272727272727" style="9" customWidth="1"/>
    <col min="4612" max="4612" width="20.2727272727273" style="9" customWidth="1"/>
    <col min="4613" max="4613" width="6.81818181818182" style="9" customWidth="1"/>
    <col min="4614" max="4614" width="10.4545454545455" style="9" customWidth="1"/>
    <col min="4615" max="4615" width="11.2727272727273" style="9" customWidth="1"/>
    <col min="4616" max="4617" width="7.81818181818182" style="9" customWidth="1"/>
    <col min="4618" max="4618" width="9.18181818181818" style="9" customWidth="1"/>
    <col min="4619" max="4619" width="12.7272727272727" style="9" customWidth="1"/>
    <col min="4620" max="4866" width="8.72727272727273" style="9"/>
    <col min="4867" max="4867" width="4.27272727272727" style="9" customWidth="1"/>
    <col min="4868" max="4868" width="20.2727272727273" style="9" customWidth="1"/>
    <col min="4869" max="4869" width="6.81818181818182" style="9" customWidth="1"/>
    <col min="4870" max="4870" width="10.4545454545455" style="9" customWidth="1"/>
    <col min="4871" max="4871" width="11.2727272727273" style="9" customWidth="1"/>
    <col min="4872" max="4873" width="7.81818181818182" style="9" customWidth="1"/>
    <col min="4874" max="4874" width="9.18181818181818" style="9" customWidth="1"/>
    <col min="4875" max="4875" width="12.7272727272727" style="9" customWidth="1"/>
    <col min="4876" max="5122" width="8.72727272727273" style="9"/>
    <col min="5123" max="5123" width="4.27272727272727" style="9" customWidth="1"/>
    <col min="5124" max="5124" width="20.2727272727273" style="9" customWidth="1"/>
    <col min="5125" max="5125" width="6.81818181818182" style="9" customWidth="1"/>
    <col min="5126" max="5126" width="10.4545454545455" style="9" customWidth="1"/>
    <col min="5127" max="5127" width="11.2727272727273" style="9" customWidth="1"/>
    <col min="5128" max="5129" width="7.81818181818182" style="9" customWidth="1"/>
    <col min="5130" max="5130" width="9.18181818181818" style="9" customWidth="1"/>
    <col min="5131" max="5131" width="12.7272727272727" style="9" customWidth="1"/>
    <col min="5132" max="5378" width="8.72727272727273" style="9"/>
    <col min="5379" max="5379" width="4.27272727272727" style="9" customWidth="1"/>
    <col min="5380" max="5380" width="20.2727272727273" style="9" customWidth="1"/>
    <col min="5381" max="5381" width="6.81818181818182" style="9" customWidth="1"/>
    <col min="5382" max="5382" width="10.4545454545455" style="9" customWidth="1"/>
    <col min="5383" max="5383" width="11.2727272727273" style="9" customWidth="1"/>
    <col min="5384" max="5385" width="7.81818181818182" style="9" customWidth="1"/>
    <col min="5386" max="5386" width="9.18181818181818" style="9" customWidth="1"/>
    <col min="5387" max="5387" width="12.7272727272727" style="9" customWidth="1"/>
    <col min="5388" max="5634" width="8.72727272727273" style="9"/>
    <col min="5635" max="5635" width="4.27272727272727" style="9" customWidth="1"/>
    <col min="5636" max="5636" width="20.2727272727273" style="9" customWidth="1"/>
    <col min="5637" max="5637" width="6.81818181818182" style="9" customWidth="1"/>
    <col min="5638" max="5638" width="10.4545454545455" style="9" customWidth="1"/>
    <col min="5639" max="5639" width="11.2727272727273" style="9" customWidth="1"/>
    <col min="5640" max="5641" width="7.81818181818182" style="9" customWidth="1"/>
    <col min="5642" max="5642" width="9.18181818181818" style="9" customWidth="1"/>
    <col min="5643" max="5643" width="12.7272727272727" style="9" customWidth="1"/>
    <col min="5644" max="5890" width="8.72727272727273" style="9"/>
    <col min="5891" max="5891" width="4.27272727272727" style="9" customWidth="1"/>
    <col min="5892" max="5892" width="20.2727272727273" style="9" customWidth="1"/>
    <col min="5893" max="5893" width="6.81818181818182" style="9" customWidth="1"/>
    <col min="5894" max="5894" width="10.4545454545455" style="9" customWidth="1"/>
    <col min="5895" max="5895" width="11.2727272727273" style="9" customWidth="1"/>
    <col min="5896" max="5897" width="7.81818181818182" style="9" customWidth="1"/>
    <col min="5898" max="5898" width="9.18181818181818" style="9" customWidth="1"/>
    <col min="5899" max="5899" width="12.7272727272727" style="9" customWidth="1"/>
    <col min="5900" max="6146" width="8.72727272727273" style="9"/>
    <col min="6147" max="6147" width="4.27272727272727" style="9" customWidth="1"/>
    <col min="6148" max="6148" width="20.2727272727273" style="9" customWidth="1"/>
    <col min="6149" max="6149" width="6.81818181818182" style="9" customWidth="1"/>
    <col min="6150" max="6150" width="10.4545454545455" style="9" customWidth="1"/>
    <col min="6151" max="6151" width="11.2727272727273" style="9" customWidth="1"/>
    <col min="6152" max="6153" width="7.81818181818182" style="9" customWidth="1"/>
    <col min="6154" max="6154" width="9.18181818181818" style="9" customWidth="1"/>
    <col min="6155" max="6155" width="12.7272727272727" style="9" customWidth="1"/>
    <col min="6156" max="6402" width="8.72727272727273" style="9"/>
    <col min="6403" max="6403" width="4.27272727272727" style="9" customWidth="1"/>
    <col min="6404" max="6404" width="20.2727272727273" style="9" customWidth="1"/>
    <col min="6405" max="6405" width="6.81818181818182" style="9" customWidth="1"/>
    <col min="6406" max="6406" width="10.4545454545455" style="9" customWidth="1"/>
    <col min="6407" max="6407" width="11.2727272727273" style="9" customWidth="1"/>
    <col min="6408" max="6409" width="7.81818181818182" style="9" customWidth="1"/>
    <col min="6410" max="6410" width="9.18181818181818" style="9" customWidth="1"/>
    <col min="6411" max="6411" width="12.7272727272727" style="9" customWidth="1"/>
    <col min="6412" max="6658" width="8.72727272727273" style="9"/>
    <col min="6659" max="6659" width="4.27272727272727" style="9" customWidth="1"/>
    <col min="6660" max="6660" width="20.2727272727273" style="9" customWidth="1"/>
    <col min="6661" max="6661" width="6.81818181818182" style="9" customWidth="1"/>
    <col min="6662" max="6662" width="10.4545454545455" style="9" customWidth="1"/>
    <col min="6663" max="6663" width="11.2727272727273" style="9" customWidth="1"/>
    <col min="6664" max="6665" width="7.81818181818182" style="9" customWidth="1"/>
    <col min="6666" max="6666" width="9.18181818181818" style="9" customWidth="1"/>
    <col min="6667" max="6667" width="12.7272727272727" style="9" customWidth="1"/>
    <col min="6668" max="6914" width="8.72727272727273" style="9"/>
    <col min="6915" max="6915" width="4.27272727272727" style="9" customWidth="1"/>
    <col min="6916" max="6916" width="20.2727272727273" style="9" customWidth="1"/>
    <col min="6917" max="6917" width="6.81818181818182" style="9" customWidth="1"/>
    <col min="6918" max="6918" width="10.4545454545455" style="9" customWidth="1"/>
    <col min="6919" max="6919" width="11.2727272727273" style="9" customWidth="1"/>
    <col min="6920" max="6921" width="7.81818181818182" style="9" customWidth="1"/>
    <col min="6922" max="6922" width="9.18181818181818" style="9" customWidth="1"/>
    <col min="6923" max="6923" width="12.7272727272727" style="9" customWidth="1"/>
    <col min="6924" max="7170" width="8.72727272727273" style="9"/>
    <col min="7171" max="7171" width="4.27272727272727" style="9" customWidth="1"/>
    <col min="7172" max="7172" width="20.2727272727273" style="9" customWidth="1"/>
    <col min="7173" max="7173" width="6.81818181818182" style="9" customWidth="1"/>
    <col min="7174" max="7174" width="10.4545454545455" style="9" customWidth="1"/>
    <col min="7175" max="7175" width="11.2727272727273" style="9" customWidth="1"/>
    <col min="7176" max="7177" width="7.81818181818182" style="9" customWidth="1"/>
    <col min="7178" max="7178" width="9.18181818181818" style="9" customWidth="1"/>
    <col min="7179" max="7179" width="12.7272727272727" style="9" customWidth="1"/>
    <col min="7180" max="7426" width="8.72727272727273" style="9"/>
    <col min="7427" max="7427" width="4.27272727272727" style="9" customWidth="1"/>
    <col min="7428" max="7428" width="20.2727272727273" style="9" customWidth="1"/>
    <col min="7429" max="7429" width="6.81818181818182" style="9" customWidth="1"/>
    <col min="7430" max="7430" width="10.4545454545455" style="9" customWidth="1"/>
    <col min="7431" max="7431" width="11.2727272727273" style="9" customWidth="1"/>
    <col min="7432" max="7433" width="7.81818181818182" style="9" customWidth="1"/>
    <col min="7434" max="7434" width="9.18181818181818" style="9" customWidth="1"/>
    <col min="7435" max="7435" width="12.7272727272727" style="9" customWidth="1"/>
    <col min="7436" max="7682" width="8.72727272727273" style="9"/>
    <col min="7683" max="7683" width="4.27272727272727" style="9" customWidth="1"/>
    <col min="7684" max="7684" width="20.2727272727273" style="9" customWidth="1"/>
    <col min="7685" max="7685" width="6.81818181818182" style="9" customWidth="1"/>
    <col min="7686" max="7686" width="10.4545454545455" style="9" customWidth="1"/>
    <col min="7687" max="7687" width="11.2727272727273" style="9" customWidth="1"/>
    <col min="7688" max="7689" width="7.81818181818182" style="9" customWidth="1"/>
    <col min="7690" max="7690" width="9.18181818181818" style="9" customWidth="1"/>
    <col min="7691" max="7691" width="12.7272727272727" style="9" customWidth="1"/>
    <col min="7692" max="7938" width="8.72727272727273" style="9"/>
    <col min="7939" max="7939" width="4.27272727272727" style="9" customWidth="1"/>
    <col min="7940" max="7940" width="20.2727272727273" style="9" customWidth="1"/>
    <col min="7941" max="7941" width="6.81818181818182" style="9" customWidth="1"/>
    <col min="7942" max="7942" width="10.4545454545455" style="9" customWidth="1"/>
    <col min="7943" max="7943" width="11.2727272727273" style="9" customWidth="1"/>
    <col min="7944" max="7945" width="7.81818181818182" style="9" customWidth="1"/>
    <col min="7946" max="7946" width="9.18181818181818" style="9" customWidth="1"/>
    <col min="7947" max="7947" width="12.7272727272727" style="9" customWidth="1"/>
    <col min="7948" max="8194" width="8.72727272727273" style="9"/>
    <col min="8195" max="8195" width="4.27272727272727" style="9" customWidth="1"/>
    <col min="8196" max="8196" width="20.2727272727273" style="9" customWidth="1"/>
    <col min="8197" max="8197" width="6.81818181818182" style="9" customWidth="1"/>
    <col min="8198" max="8198" width="10.4545454545455" style="9" customWidth="1"/>
    <col min="8199" max="8199" width="11.2727272727273" style="9" customWidth="1"/>
    <col min="8200" max="8201" width="7.81818181818182" style="9" customWidth="1"/>
    <col min="8202" max="8202" width="9.18181818181818" style="9" customWidth="1"/>
    <col min="8203" max="8203" width="12.7272727272727" style="9" customWidth="1"/>
    <col min="8204" max="8450" width="8.72727272727273" style="9"/>
    <col min="8451" max="8451" width="4.27272727272727" style="9" customWidth="1"/>
    <col min="8452" max="8452" width="20.2727272727273" style="9" customWidth="1"/>
    <col min="8453" max="8453" width="6.81818181818182" style="9" customWidth="1"/>
    <col min="8454" max="8454" width="10.4545454545455" style="9" customWidth="1"/>
    <col min="8455" max="8455" width="11.2727272727273" style="9" customWidth="1"/>
    <col min="8456" max="8457" width="7.81818181818182" style="9" customWidth="1"/>
    <col min="8458" max="8458" width="9.18181818181818" style="9" customWidth="1"/>
    <col min="8459" max="8459" width="12.7272727272727" style="9" customWidth="1"/>
    <col min="8460" max="8706" width="8.72727272727273" style="9"/>
    <col min="8707" max="8707" width="4.27272727272727" style="9" customWidth="1"/>
    <col min="8708" max="8708" width="20.2727272727273" style="9" customWidth="1"/>
    <col min="8709" max="8709" width="6.81818181818182" style="9" customWidth="1"/>
    <col min="8710" max="8710" width="10.4545454545455" style="9" customWidth="1"/>
    <col min="8711" max="8711" width="11.2727272727273" style="9" customWidth="1"/>
    <col min="8712" max="8713" width="7.81818181818182" style="9" customWidth="1"/>
    <col min="8714" max="8714" width="9.18181818181818" style="9" customWidth="1"/>
    <col min="8715" max="8715" width="12.7272727272727" style="9" customWidth="1"/>
    <col min="8716" max="8962" width="8.72727272727273" style="9"/>
    <col min="8963" max="8963" width="4.27272727272727" style="9" customWidth="1"/>
    <col min="8964" max="8964" width="20.2727272727273" style="9" customWidth="1"/>
    <col min="8965" max="8965" width="6.81818181818182" style="9" customWidth="1"/>
    <col min="8966" max="8966" width="10.4545454545455" style="9" customWidth="1"/>
    <col min="8967" max="8967" width="11.2727272727273" style="9" customWidth="1"/>
    <col min="8968" max="8969" width="7.81818181818182" style="9" customWidth="1"/>
    <col min="8970" max="8970" width="9.18181818181818" style="9" customWidth="1"/>
    <col min="8971" max="8971" width="12.7272727272727" style="9" customWidth="1"/>
    <col min="8972" max="9218" width="8.72727272727273" style="9"/>
    <col min="9219" max="9219" width="4.27272727272727" style="9" customWidth="1"/>
    <col min="9220" max="9220" width="20.2727272727273" style="9" customWidth="1"/>
    <col min="9221" max="9221" width="6.81818181818182" style="9" customWidth="1"/>
    <col min="9222" max="9222" width="10.4545454545455" style="9" customWidth="1"/>
    <col min="9223" max="9223" width="11.2727272727273" style="9" customWidth="1"/>
    <col min="9224" max="9225" width="7.81818181818182" style="9" customWidth="1"/>
    <col min="9226" max="9226" width="9.18181818181818" style="9" customWidth="1"/>
    <col min="9227" max="9227" width="12.7272727272727" style="9" customWidth="1"/>
    <col min="9228" max="9474" width="8.72727272727273" style="9"/>
    <col min="9475" max="9475" width="4.27272727272727" style="9" customWidth="1"/>
    <col min="9476" max="9476" width="20.2727272727273" style="9" customWidth="1"/>
    <col min="9477" max="9477" width="6.81818181818182" style="9" customWidth="1"/>
    <col min="9478" max="9478" width="10.4545454545455" style="9" customWidth="1"/>
    <col min="9479" max="9479" width="11.2727272727273" style="9" customWidth="1"/>
    <col min="9480" max="9481" width="7.81818181818182" style="9" customWidth="1"/>
    <col min="9482" max="9482" width="9.18181818181818" style="9" customWidth="1"/>
    <col min="9483" max="9483" width="12.7272727272727" style="9" customWidth="1"/>
    <col min="9484" max="9730" width="8.72727272727273" style="9"/>
    <col min="9731" max="9731" width="4.27272727272727" style="9" customWidth="1"/>
    <col min="9732" max="9732" width="20.2727272727273" style="9" customWidth="1"/>
    <col min="9733" max="9733" width="6.81818181818182" style="9" customWidth="1"/>
    <col min="9734" max="9734" width="10.4545454545455" style="9" customWidth="1"/>
    <col min="9735" max="9735" width="11.2727272727273" style="9" customWidth="1"/>
    <col min="9736" max="9737" width="7.81818181818182" style="9" customWidth="1"/>
    <col min="9738" max="9738" width="9.18181818181818" style="9" customWidth="1"/>
    <col min="9739" max="9739" width="12.7272727272727" style="9" customWidth="1"/>
    <col min="9740" max="9986" width="8.72727272727273" style="9"/>
    <col min="9987" max="9987" width="4.27272727272727" style="9" customWidth="1"/>
    <col min="9988" max="9988" width="20.2727272727273" style="9" customWidth="1"/>
    <col min="9989" max="9989" width="6.81818181818182" style="9" customWidth="1"/>
    <col min="9990" max="9990" width="10.4545454545455" style="9" customWidth="1"/>
    <col min="9991" max="9991" width="11.2727272727273" style="9" customWidth="1"/>
    <col min="9992" max="9993" width="7.81818181818182" style="9" customWidth="1"/>
    <col min="9994" max="9994" width="9.18181818181818" style="9" customWidth="1"/>
    <col min="9995" max="9995" width="12.7272727272727" style="9" customWidth="1"/>
    <col min="9996" max="10242" width="8.72727272727273" style="9"/>
    <col min="10243" max="10243" width="4.27272727272727" style="9" customWidth="1"/>
    <col min="10244" max="10244" width="20.2727272727273" style="9" customWidth="1"/>
    <col min="10245" max="10245" width="6.81818181818182" style="9" customWidth="1"/>
    <col min="10246" max="10246" width="10.4545454545455" style="9" customWidth="1"/>
    <col min="10247" max="10247" width="11.2727272727273" style="9" customWidth="1"/>
    <col min="10248" max="10249" width="7.81818181818182" style="9" customWidth="1"/>
    <col min="10250" max="10250" width="9.18181818181818" style="9" customWidth="1"/>
    <col min="10251" max="10251" width="12.7272727272727" style="9" customWidth="1"/>
    <col min="10252" max="10498" width="8.72727272727273" style="9"/>
    <col min="10499" max="10499" width="4.27272727272727" style="9" customWidth="1"/>
    <col min="10500" max="10500" width="20.2727272727273" style="9" customWidth="1"/>
    <col min="10501" max="10501" width="6.81818181818182" style="9" customWidth="1"/>
    <col min="10502" max="10502" width="10.4545454545455" style="9" customWidth="1"/>
    <col min="10503" max="10503" width="11.2727272727273" style="9" customWidth="1"/>
    <col min="10504" max="10505" width="7.81818181818182" style="9" customWidth="1"/>
    <col min="10506" max="10506" width="9.18181818181818" style="9" customWidth="1"/>
    <col min="10507" max="10507" width="12.7272727272727" style="9" customWidth="1"/>
    <col min="10508" max="10754" width="8.72727272727273" style="9"/>
    <col min="10755" max="10755" width="4.27272727272727" style="9" customWidth="1"/>
    <col min="10756" max="10756" width="20.2727272727273" style="9" customWidth="1"/>
    <col min="10757" max="10757" width="6.81818181818182" style="9" customWidth="1"/>
    <col min="10758" max="10758" width="10.4545454545455" style="9" customWidth="1"/>
    <col min="10759" max="10759" width="11.2727272727273" style="9" customWidth="1"/>
    <col min="10760" max="10761" width="7.81818181818182" style="9" customWidth="1"/>
    <col min="10762" max="10762" width="9.18181818181818" style="9" customWidth="1"/>
    <col min="10763" max="10763" width="12.7272727272727" style="9" customWidth="1"/>
    <col min="10764" max="11010" width="8.72727272727273" style="9"/>
    <col min="11011" max="11011" width="4.27272727272727" style="9" customWidth="1"/>
    <col min="11012" max="11012" width="20.2727272727273" style="9" customWidth="1"/>
    <col min="11013" max="11013" width="6.81818181818182" style="9" customWidth="1"/>
    <col min="11014" max="11014" width="10.4545454545455" style="9" customWidth="1"/>
    <col min="11015" max="11015" width="11.2727272727273" style="9" customWidth="1"/>
    <col min="11016" max="11017" width="7.81818181818182" style="9" customWidth="1"/>
    <col min="11018" max="11018" width="9.18181818181818" style="9" customWidth="1"/>
    <col min="11019" max="11019" width="12.7272727272727" style="9" customWidth="1"/>
    <col min="11020" max="11266" width="8.72727272727273" style="9"/>
    <col min="11267" max="11267" width="4.27272727272727" style="9" customWidth="1"/>
    <col min="11268" max="11268" width="20.2727272727273" style="9" customWidth="1"/>
    <col min="11269" max="11269" width="6.81818181818182" style="9" customWidth="1"/>
    <col min="11270" max="11270" width="10.4545454545455" style="9" customWidth="1"/>
    <col min="11271" max="11271" width="11.2727272727273" style="9" customWidth="1"/>
    <col min="11272" max="11273" width="7.81818181818182" style="9" customWidth="1"/>
    <col min="11274" max="11274" width="9.18181818181818" style="9" customWidth="1"/>
    <col min="11275" max="11275" width="12.7272727272727" style="9" customWidth="1"/>
    <col min="11276" max="11522" width="8.72727272727273" style="9"/>
    <col min="11523" max="11523" width="4.27272727272727" style="9" customWidth="1"/>
    <col min="11524" max="11524" width="20.2727272727273" style="9" customWidth="1"/>
    <col min="11525" max="11525" width="6.81818181818182" style="9" customWidth="1"/>
    <col min="11526" max="11526" width="10.4545454545455" style="9" customWidth="1"/>
    <col min="11527" max="11527" width="11.2727272727273" style="9" customWidth="1"/>
    <col min="11528" max="11529" width="7.81818181818182" style="9" customWidth="1"/>
    <col min="11530" max="11530" width="9.18181818181818" style="9" customWidth="1"/>
    <col min="11531" max="11531" width="12.7272727272727" style="9" customWidth="1"/>
    <col min="11532" max="11778" width="8.72727272727273" style="9"/>
    <col min="11779" max="11779" width="4.27272727272727" style="9" customWidth="1"/>
    <col min="11780" max="11780" width="20.2727272727273" style="9" customWidth="1"/>
    <col min="11781" max="11781" width="6.81818181818182" style="9" customWidth="1"/>
    <col min="11782" max="11782" width="10.4545454545455" style="9" customWidth="1"/>
    <col min="11783" max="11783" width="11.2727272727273" style="9" customWidth="1"/>
    <col min="11784" max="11785" width="7.81818181818182" style="9" customWidth="1"/>
    <col min="11786" max="11786" width="9.18181818181818" style="9" customWidth="1"/>
    <col min="11787" max="11787" width="12.7272727272727" style="9" customWidth="1"/>
    <col min="11788" max="12034" width="8.72727272727273" style="9"/>
    <col min="12035" max="12035" width="4.27272727272727" style="9" customWidth="1"/>
    <col min="12036" max="12036" width="20.2727272727273" style="9" customWidth="1"/>
    <col min="12037" max="12037" width="6.81818181818182" style="9" customWidth="1"/>
    <col min="12038" max="12038" width="10.4545454545455" style="9" customWidth="1"/>
    <col min="12039" max="12039" width="11.2727272727273" style="9" customWidth="1"/>
    <col min="12040" max="12041" width="7.81818181818182" style="9" customWidth="1"/>
    <col min="12042" max="12042" width="9.18181818181818" style="9" customWidth="1"/>
    <col min="12043" max="12043" width="12.7272727272727" style="9" customWidth="1"/>
    <col min="12044" max="12290" width="8.72727272727273" style="9"/>
    <col min="12291" max="12291" width="4.27272727272727" style="9" customWidth="1"/>
    <col min="12292" max="12292" width="20.2727272727273" style="9" customWidth="1"/>
    <col min="12293" max="12293" width="6.81818181818182" style="9" customWidth="1"/>
    <col min="12294" max="12294" width="10.4545454545455" style="9" customWidth="1"/>
    <col min="12295" max="12295" width="11.2727272727273" style="9" customWidth="1"/>
    <col min="12296" max="12297" width="7.81818181818182" style="9" customWidth="1"/>
    <col min="12298" max="12298" width="9.18181818181818" style="9" customWidth="1"/>
    <col min="12299" max="12299" width="12.7272727272727" style="9" customWidth="1"/>
    <col min="12300" max="12546" width="8.72727272727273" style="9"/>
    <col min="12547" max="12547" width="4.27272727272727" style="9" customWidth="1"/>
    <col min="12548" max="12548" width="20.2727272727273" style="9" customWidth="1"/>
    <col min="12549" max="12549" width="6.81818181818182" style="9" customWidth="1"/>
    <col min="12550" max="12550" width="10.4545454545455" style="9" customWidth="1"/>
    <col min="12551" max="12551" width="11.2727272727273" style="9" customWidth="1"/>
    <col min="12552" max="12553" width="7.81818181818182" style="9" customWidth="1"/>
    <col min="12554" max="12554" width="9.18181818181818" style="9" customWidth="1"/>
    <col min="12555" max="12555" width="12.7272727272727" style="9" customWidth="1"/>
    <col min="12556" max="12802" width="8.72727272727273" style="9"/>
    <col min="12803" max="12803" width="4.27272727272727" style="9" customWidth="1"/>
    <col min="12804" max="12804" width="20.2727272727273" style="9" customWidth="1"/>
    <col min="12805" max="12805" width="6.81818181818182" style="9" customWidth="1"/>
    <col min="12806" max="12806" width="10.4545454545455" style="9" customWidth="1"/>
    <col min="12807" max="12807" width="11.2727272727273" style="9" customWidth="1"/>
    <col min="12808" max="12809" width="7.81818181818182" style="9" customWidth="1"/>
    <col min="12810" max="12810" width="9.18181818181818" style="9" customWidth="1"/>
    <col min="12811" max="12811" width="12.7272727272727" style="9" customWidth="1"/>
    <col min="12812" max="13058" width="8.72727272727273" style="9"/>
    <col min="13059" max="13059" width="4.27272727272727" style="9" customWidth="1"/>
    <col min="13060" max="13060" width="20.2727272727273" style="9" customWidth="1"/>
    <col min="13061" max="13061" width="6.81818181818182" style="9" customWidth="1"/>
    <col min="13062" max="13062" width="10.4545454545455" style="9" customWidth="1"/>
    <col min="13063" max="13063" width="11.2727272727273" style="9" customWidth="1"/>
    <col min="13064" max="13065" width="7.81818181818182" style="9" customWidth="1"/>
    <col min="13066" max="13066" width="9.18181818181818" style="9" customWidth="1"/>
    <col min="13067" max="13067" width="12.7272727272727" style="9" customWidth="1"/>
    <col min="13068" max="13314" width="8.72727272727273" style="9"/>
    <col min="13315" max="13315" width="4.27272727272727" style="9" customWidth="1"/>
    <col min="13316" max="13316" width="20.2727272727273" style="9" customWidth="1"/>
    <col min="13317" max="13317" width="6.81818181818182" style="9" customWidth="1"/>
    <col min="13318" max="13318" width="10.4545454545455" style="9" customWidth="1"/>
    <col min="13319" max="13319" width="11.2727272727273" style="9" customWidth="1"/>
    <col min="13320" max="13321" width="7.81818181818182" style="9" customWidth="1"/>
    <col min="13322" max="13322" width="9.18181818181818" style="9" customWidth="1"/>
    <col min="13323" max="13323" width="12.7272727272727" style="9" customWidth="1"/>
    <col min="13324" max="13570" width="8.72727272727273" style="9"/>
    <col min="13571" max="13571" width="4.27272727272727" style="9" customWidth="1"/>
    <col min="13572" max="13572" width="20.2727272727273" style="9" customWidth="1"/>
    <col min="13573" max="13573" width="6.81818181818182" style="9" customWidth="1"/>
    <col min="13574" max="13574" width="10.4545454545455" style="9" customWidth="1"/>
    <col min="13575" max="13575" width="11.2727272727273" style="9" customWidth="1"/>
    <col min="13576" max="13577" width="7.81818181818182" style="9" customWidth="1"/>
    <col min="13578" max="13578" width="9.18181818181818" style="9" customWidth="1"/>
    <col min="13579" max="13579" width="12.7272727272727" style="9" customWidth="1"/>
    <col min="13580" max="13826" width="8.72727272727273" style="9"/>
    <col min="13827" max="13827" width="4.27272727272727" style="9" customWidth="1"/>
    <col min="13828" max="13828" width="20.2727272727273" style="9" customWidth="1"/>
    <col min="13829" max="13829" width="6.81818181818182" style="9" customWidth="1"/>
    <col min="13830" max="13830" width="10.4545454545455" style="9" customWidth="1"/>
    <col min="13831" max="13831" width="11.2727272727273" style="9" customWidth="1"/>
    <col min="13832" max="13833" width="7.81818181818182" style="9" customWidth="1"/>
    <col min="13834" max="13834" width="9.18181818181818" style="9" customWidth="1"/>
    <col min="13835" max="13835" width="12.7272727272727" style="9" customWidth="1"/>
    <col min="13836" max="14082" width="8.72727272727273" style="9"/>
    <col min="14083" max="14083" width="4.27272727272727" style="9" customWidth="1"/>
    <col min="14084" max="14084" width="20.2727272727273" style="9" customWidth="1"/>
    <col min="14085" max="14085" width="6.81818181818182" style="9" customWidth="1"/>
    <col min="14086" max="14086" width="10.4545454545455" style="9" customWidth="1"/>
    <col min="14087" max="14087" width="11.2727272727273" style="9" customWidth="1"/>
    <col min="14088" max="14089" width="7.81818181818182" style="9" customWidth="1"/>
    <col min="14090" max="14090" width="9.18181818181818" style="9" customWidth="1"/>
    <col min="14091" max="14091" width="12.7272727272727" style="9" customWidth="1"/>
    <col min="14092" max="14338" width="8.72727272727273" style="9"/>
    <col min="14339" max="14339" width="4.27272727272727" style="9" customWidth="1"/>
    <col min="14340" max="14340" width="20.2727272727273" style="9" customWidth="1"/>
    <col min="14341" max="14341" width="6.81818181818182" style="9" customWidth="1"/>
    <col min="14342" max="14342" width="10.4545454545455" style="9" customWidth="1"/>
    <col min="14343" max="14343" width="11.2727272727273" style="9" customWidth="1"/>
    <col min="14344" max="14345" width="7.81818181818182" style="9" customWidth="1"/>
    <col min="14346" max="14346" width="9.18181818181818" style="9" customWidth="1"/>
    <col min="14347" max="14347" width="12.7272727272727" style="9" customWidth="1"/>
    <col min="14348" max="14594" width="8.72727272727273" style="9"/>
    <col min="14595" max="14595" width="4.27272727272727" style="9" customWidth="1"/>
    <col min="14596" max="14596" width="20.2727272727273" style="9" customWidth="1"/>
    <col min="14597" max="14597" width="6.81818181818182" style="9" customWidth="1"/>
    <col min="14598" max="14598" width="10.4545454545455" style="9" customWidth="1"/>
    <col min="14599" max="14599" width="11.2727272727273" style="9" customWidth="1"/>
    <col min="14600" max="14601" width="7.81818181818182" style="9" customWidth="1"/>
    <col min="14602" max="14602" width="9.18181818181818" style="9" customWidth="1"/>
    <col min="14603" max="14603" width="12.7272727272727" style="9" customWidth="1"/>
    <col min="14604" max="14850" width="8.72727272727273" style="9"/>
    <col min="14851" max="14851" width="4.27272727272727" style="9" customWidth="1"/>
    <col min="14852" max="14852" width="20.2727272727273" style="9" customWidth="1"/>
    <col min="14853" max="14853" width="6.81818181818182" style="9" customWidth="1"/>
    <col min="14854" max="14854" width="10.4545454545455" style="9" customWidth="1"/>
    <col min="14855" max="14855" width="11.2727272727273" style="9" customWidth="1"/>
    <col min="14856" max="14857" width="7.81818181818182" style="9" customWidth="1"/>
    <col min="14858" max="14858" width="9.18181818181818" style="9" customWidth="1"/>
    <col min="14859" max="14859" width="12.7272727272727" style="9" customWidth="1"/>
    <col min="14860" max="15106" width="8.72727272727273" style="9"/>
    <col min="15107" max="15107" width="4.27272727272727" style="9" customWidth="1"/>
    <col min="15108" max="15108" width="20.2727272727273" style="9" customWidth="1"/>
    <col min="15109" max="15109" width="6.81818181818182" style="9" customWidth="1"/>
    <col min="15110" max="15110" width="10.4545454545455" style="9" customWidth="1"/>
    <col min="15111" max="15111" width="11.2727272727273" style="9" customWidth="1"/>
    <col min="15112" max="15113" width="7.81818181818182" style="9" customWidth="1"/>
    <col min="15114" max="15114" width="9.18181818181818" style="9" customWidth="1"/>
    <col min="15115" max="15115" width="12.7272727272727" style="9" customWidth="1"/>
    <col min="15116" max="15362" width="8.72727272727273" style="9"/>
    <col min="15363" max="15363" width="4.27272727272727" style="9" customWidth="1"/>
    <col min="15364" max="15364" width="20.2727272727273" style="9" customWidth="1"/>
    <col min="15365" max="15365" width="6.81818181818182" style="9" customWidth="1"/>
    <col min="15366" max="15366" width="10.4545454545455" style="9" customWidth="1"/>
    <col min="15367" max="15367" width="11.2727272727273" style="9" customWidth="1"/>
    <col min="15368" max="15369" width="7.81818181818182" style="9" customWidth="1"/>
    <col min="15370" max="15370" width="9.18181818181818" style="9" customWidth="1"/>
    <col min="15371" max="15371" width="12.7272727272727" style="9" customWidth="1"/>
    <col min="15372" max="15618" width="8.72727272727273" style="9"/>
    <col min="15619" max="15619" width="4.27272727272727" style="9" customWidth="1"/>
    <col min="15620" max="15620" width="20.2727272727273" style="9" customWidth="1"/>
    <col min="15621" max="15621" width="6.81818181818182" style="9" customWidth="1"/>
    <col min="15622" max="15622" width="10.4545454545455" style="9" customWidth="1"/>
    <col min="15623" max="15623" width="11.2727272727273" style="9" customWidth="1"/>
    <col min="15624" max="15625" width="7.81818181818182" style="9" customWidth="1"/>
    <col min="15626" max="15626" width="9.18181818181818" style="9" customWidth="1"/>
    <col min="15627" max="15627" width="12.7272727272727" style="9" customWidth="1"/>
    <col min="15628" max="15874" width="8.72727272727273" style="9"/>
    <col min="15875" max="15875" width="4.27272727272727" style="9" customWidth="1"/>
    <col min="15876" max="15876" width="20.2727272727273" style="9" customWidth="1"/>
    <col min="15877" max="15877" width="6.81818181818182" style="9" customWidth="1"/>
    <col min="15878" max="15878" width="10.4545454545455" style="9" customWidth="1"/>
    <col min="15879" max="15879" width="11.2727272727273" style="9" customWidth="1"/>
    <col min="15880" max="15881" width="7.81818181818182" style="9" customWidth="1"/>
    <col min="15882" max="15882" width="9.18181818181818" style="9" customWidth="1"/>
    <col min="15883" max="15883" width="12.7272727272727" style="9" customWidth="1"/>
    <col min="15884" max="16130" width="8.72727272727273" style="9"/>
    <col min="16131" max="16131" width="4.27272727272727" style="9" customWidth="1"/>
    <col min="16132" max="16132" width="20.2727272727273" style="9" customWidth="1"/>
    <col min="16133" max="16133" width="6.81818181818182" style="9" customWidth="1"/>
    <col min="16134" max="16134" width="10.4545454545455" style="9" customWidth="1"/>
    <col min="16135" max="16135" width="11.2727272727273" style="9" customWidth="1"/>
    <col min="16136" max="16137" width="7.81818181818182" style="9" customWidth="1"/>
    <col min="16138" max="16138" width="9.18181818181818" style="9" customWidth="1"/>
    <col min="16139" max="16139" width="12.7272727272727" style="9" customWidth="1"/>
    <col min="16140" max="16384" width="8.72727272727273" style="9"/>
  </cols>
  <sheetData>
    <row r="1" s="8" customFormat="1" ht="19.5" customHeight="1" spans="3:5">
      <c r="C1" s="10" t="s">
        <v>33</v>
      </c>
      <c r="D1" s="11"/>
      <c r="E1" s="12"/>
    </row>
    <row r="2" s="8" customFormat="1" ht="19.5" customHeight="1" spans="3:5">
      <c r="C2" s="12"/>
      <c r="D2" s="12"/>
      <c r="E2" s="12"/>
    </row>
    <row r="3" s="8" customFormat="1" ht="13.5" customHeight="1" spans="3:5">
      <c r="C3" s="12"/>
      <c r="D3" s="12"/>
      <c r="E3" s="12"/>
    </row>
    <row r="4" s="9" customFormat="1" ht="33.75" customHeight="1" spans="4:11">
      <c r="D4" s="13" t="s">
        <v>34</v>
      </c>
      <c r="E4" s="13"/>
      <c r="F4" s="13"/>
      <c r="G4" s="13"/>
      <c r="H4" s="13"/>
      <c r="I4" s="13"/>
      <c r="J4" s="13"/>
      <c r="K4" s="13"/>
    </row>
    <row r="5" s="9" customFormat="1" ht="12.75" customHeight="1" spans="4:11">
      <c r="D5" s="14" t="s">
        <v>35</v>
      </c>
      <c r="E5" s="14"/>
      <c r="F5" s="14"/>
      <c r="G5" s="14"/>
      <c r="H5" s="14"/>
      <c r="I5" s="14"/>
      <c r="J5" s="14"/>
      <c r="K5" s="14"/>
    </row>
    <row r="6" s="9" customFormat="1" ht="6" customHeight="1" spans="3:11">
      <c r="C6" s="15"/>
      <c r="D6" s="15"/>
      <c r="E6" s="15"/>
      <c r="F6" s="15"/>
      <c r="G6" s="15"/>
      <c r="H6" s="15"/>
      <c r="I6" s="15"/>
      <c r="J6" s="15"/>
      <c r="K6" s="15"/>
    </row>
    <row r="7" ht="17.25" customHeight="1"/>
    <row r="8" s="9" customFormat="1" ht="13" spans="3:11">
      <c r="C8" s="16" t="s">
        <v>36</v>
      </c>
      <c r="D8" s="16"/>
      <c r="E8" s="16"/>
      <c r="F8" s="16"/>
      <c r="G8" s="16"/>
      <c r="H8" s="16"/>
      <c r="I8" s="16"/>
      <c r="J8" s="16"/>
      <c r="K8" s="16"/>
    </row>
    <row r="9" ht="13.25"/>
    <row r="10" s="9" customFormat="1" ht="18" customHeight="1" spans="3:11">
      <c r="C10" s="17" t="s">
        <v>5</v>
      </c>
      <c r="D10" s="18" t="s">
        <v>37</v>
      </c>
      <c r="E10" s="18" t="s">
        <v>38</v>
      </c>
      <c r="F10" s="18" t="s">
        <v>39</v>
      </c>
      <c r="G10" s="18" t="s">
        <v>40</v>
      </c>
      <c r="H10" s="18" t="s">
        <v>41</v>
      </c>
      <c r="I10" s="18" t="s">
        <v>42</v>
      </c>
      <c r="J10" s="18" t="s">
        <v>43</v>
      </c>
      <c r="K10" s="32" t="s">
        <v>44</v>
      </c>
    </row>
    <row r="11" s="9" customFormat="1" ht="18" customHeight="1" spans="3:11">
      <c r="C11" s="19"/>
      <c r="D11" s="20"/>
      <c r="E11" s="20"/>
      <c r="F11" s="20"/>
      <c r="G11" s="20" t="s">
        <v>45</v>
      </c>
      <c r="H11" s="20" t="s">
        <v>46</v>
      </c>
      <c r="I11" s="20" t="s">
        <v>47</v>
      </c>
      <c r="J11" s="20" t="s">
        <v>48</v>
      </c>
      <c r="K11" s="33"/>
    </row>
    <row r="12" s="8" customFormat="1" ht="19.5" customHeight="1" spans="3:21">
      <c r="C12" s="21">
        <v>1</v>
      </c>
      <c r="D12" s="22" t="s">
        <v>49</v>
      </c>
      <c r="E12" s="23">
        <v>45</v>
      </c>
      <c r="F12" s="22" cm="1">
        <f t="array" ref="F12">_xlfn.IFS(E12=45,450,E12=56,900,E12=70,1350)</f>
        <v>450</v>
      </c>
      <c r="G12" s="22" cm="1">
        <f t="array" ref="G12">_xlfn.IFS(F12=450,4500,F12=900,1450,F12=1350,27800)</f>
        <v>4500</v>
      </c>
      <c r="H12" s="23">
        <v>4500</v>
      </c>
      <c r="I12" s="23">
        <v>4750</v>
      </c>
      <c r="J12" s="34" cm="1">
        <f t="array" ref="J12">_xlfn.IFS(F12=450,125,F12=900,184,F12=1350,214)</f>
        <v>125</v>
      </c>
      <c r="K12" s="35">
        <f t="shared" ref="K12:K21" si="0">J12*F12</f>
        <v>56250</v>
      </c>
      <c r="M12" s="60" t="s">
        <v>50</v>
      </c>
      <c r="N12" s="36" t="s">
        <v>51</v>
      </c>
      <c r="O12" s="9"/>
      <c r="P12" s="9"/>
      <c r="Q12" s="9"/>
      <c r="R12" s="36" t="s">
        <v>52</v>
      </c>
      <c r="S12" s="9"/>
      <c r="T12" s="9"/>
      <c r="U12" s="9"/>
    </row>
    <row r="13" s="8" customFormat="1" ht="19.5" customHeight="1" spans="3:21">
      <c r="C13" s="24">
        <v>2</v>
      </c>
      <c r="D13" s="25" t="s">
        <v>53</v>
      </c>
      <c r="E13" s="26">
        <v>56</v>
      </c>
      <c r="F13" s="22" cm="1">
        <f t="array" ref="F13">_xlfn.IFS(E13=45,450,E13=56,900,E13=70,1350)</f>
        <v>900</v>
      </c>
      <c r="G13" s="22" cm="1">
        <f t="array" ref="G13">_xlfn.IFS(F13=450,4500,F13=900,1450,F13=1350,27800)</f>
        <v>1450</v>
      </c>
      <c r="H13" s="26">
        <v>4750</v>
      </c>
      <c r="I13" s="26">
        <v>5250</v>
      </c>
      <c r="J13" s="34" cm="1">
        <f t="array" ref="J13">_xlfn.IFS(F13=450,125,F13=900,184,F13=1350,214)</f>
        <v>184</v>
      </c>
      <c r="K13" s="35">
        <f t="shared" si="0"/>
        <v>165600</v>
      </c>
      <c r="M13" s="9"/>
      <c r="N13" s="61" t="s">
        <v>54</v>
      </c>
      <c r="O13" s="9"/>
      <c r="P13" s="9"/>
      <c r="Q13" s="9"/>
      <c r="R13" s="9" t="s">
        <v>55</v>
      </c>
      <c r="S13" s="9"/>
      <c r="T13" s="9"/>
      <c r="U13" s="9"/>
    </row>
    <row r="14" s="8" customFormat="1" ht="19.5" customHeight="1" spans="3:21">
      <c r="C14" s="24">
        <v>3</v>
      </c>
      <c r="D14" s="25" t="s">
        <v>56</v>
      </c>
      <c r="E14" s="26">
        <v>45</v>
      </c>
      <c r="F14" s="22" cm="1">
        <f t="array" ref="F14">_xlfn.IFS(E14=45,450,E14=56,900,E14=70,1350)</f>
        <v>450</v>
      </c>
      <c r="G14" s="22" cm="1">
        <f t="array" ref="G14">_xlfn.IFS(F14=450,4500,F14=900,1450,F14=1350,27800)</f>
        <v>4500</v>
      </c>
      <c r="H14" s="23">
        <v>5000</v>
      </c>
      <c r="I14" s="23">
        <v>5750</v>
      </c>
      <c r="J14" s="34" cm="1">
        <f t="array" ref="J14">_xlfn.IFS(F14=450,125,F14=900,184,F14=1350,214)</f>
        <v>125</v>
      </c>
      <c r="K14" s="35">
        <f t="shared" si="0"/>
        <v>56250</v>
      </c>
      <c r="M14" s="9"/>
      <c r="N14" s="61" t="s">
        <v>57</v>
      </c>
      <c r="O14" s="9"/>
      <c r="P14" s="9"/>
      <c r="Q14" s="9"/>
      <c r="R14" s="9" t="s">
        <v>58</v>
      </c>
      <c r="S14" s="9"/>
      <c r="T14" s="9"/>
      <c r="U14" s="9"/>
    </row>
    <row r="15" s="8" customFormat="1" ht="19.5" customHeight="1" spans="3:21">
      <c r="C15" s="24">
        <v>4</v>
      </c>
      <c r="D15" s="25" t="s">
        <v>59</v>
      </c>
      <c r="E15" s="26">
        <v>70</v>
      </c>
      <c r="F15" s="22" cm="1">
        <f t="array" ref="F15">_xlfn.IFS(E15=45,450,E15=56,900,E15=70,1350)</f>
        <v>1350</v>
      </c>
      <c r="G15" s="22" cm="1">
        <f t="array" ref="G15">_xlfn.IFS(F15=450,4500,F15=900,1450,F15=1350,27800)</f>
        <v>27800</v>
      </c>
      <c r="H15" s="26">
        <v>5250</v>
      </c>
      <c r="I15" s="26">
        <v>6250</v>
      </c>
      <c r="J15" s="34" cm="1">
        <f t="array" ref="J15">_xlfn.IFS(F15=450,125,F15=900,184,F15=1350,214)</f>
        <v>214</v>
      </c>
      <c r="K15" s="35">
        <f t="shared" si="0"/>
        <v>288900</v>
      </c>
      <c r="M15" s="9"/>
      <c r="N15" s="61" t="s">
        <v>60</v>
      </c>
      <c r="O15" s="9"/>
      <c r="P15" s="9"/>
      <c r="Q15" s="9"/>
      <c r="R15" s="9" t="s">
        <v>61</v>
      </c>
      <c r="S15" s="9"/>
      <c r="T15" s="9"/>
      <c r="U15" s="9"/>
    </row>
    <row r="16" s="8" customFormat="1" ht="19.5" customHeight="1" spans="3:21">
      <c r="C16" s="24">
        <v>5</v>
      </c>
      <c r="D16" s="25" t="s">
        <v>62</v>
      </c>
      <c r="E16" s="26">
        <v>70</v>
      </c>
      <c r="F16" s="22" cm="1">
        <f t="array" ref="F16">_xlfn.IFS(E16=45,450,E16=56,900,E16=70,1350)</f>
        <v>1350</v>
      </c>
      <c r="G16" s="22" cm="1">
        <f t="array" ref="G16">_xlfn.IFS(F16=450,4500,F16=900,1450,F16=1350,27800)</f>
        <v>27800</v>
      </c>
      <c r="H16" s="23">
        <v>5500</v>
      </c>
      <c r="I16" s="23">
        <v>6750</v>
      </c>
      <c r="J16" s="34" cm="1">
        <f t="array" ref="J16">_xlfn.IFS(F16=450,125,F16=900,184,F16=1350,214)</f>
        <v>214</v>
      </c>
      <c r="K16" s="35">
        <f t="shared" si="0"/>
        <v>288900</v>
      </c>
      <c r="M16" s="9"/>
      <c r="N16" s="9"/>
      <c r="O16" s="9"/>
      <c r="P16" s="9"/>
      <c r="Q16" s="9"/>
      <c r="R16" s="9"/>
      <c r="S16" s="9"/>
      <c r="T16" s="9"/>
      <c r="U16" s="9"/>
    </row>
    <row r="17" s="8" customFormat="1" ht="19.5" customHeight="1" spans="3:21">
      <c r="C17" s="24">
        <v>6</v>
      </c>
      <c r="D17" s="25" t="s">
        <v>63</v>
      </c>
      <c r="E17" s="26">
        <v>56</v>
      </c>
      <c r="F17" s="22" cm="1">
        <f t="array" ref="F17">_xlfn.IFS(E17=45,450,E17=56,900,E17=70,1350)</f>
        <v>900</v>
      </c>
      <c r="G17" s="22" cm="1">
        <f t="array" ref="G17">_xlfn.IFS(F17=450,4500,F17=900,1450,F17=1350,27800)</f>
        <v>1450</v>
      </c>
      <c r="H17" s="26">
        <v>5750</v>
      </c>
      <c r="I17" s="26">
        <v>7250</v>
      </c>
      <c r="J17" s="34" cm="1">
        <f t="array" ref="J17">_xlfn.IFS(F17=450,125,F17=900,184,F17=1350,214)</f>
        <v>184</v>
      </c>
      <c r="K17" s="35">
        <f t="shared" si="0"/>
        <v>165600</v>
      </c>
      <c r="M17" s="62" t="s">
        <v>64</v>
      </c>
      <c r="N17" s="36" t="s">
        <v>65</v>
      </c>
      <c r="O17" s="9"/>
      <c r="P17" s="9"/>
      <c r="Q17" s="9"/>
      <c r="R17" s="9"/>
      <c r="S17" s="9"/>
      <c r="T17" s="9"/>
      <c r="U17" s="9"/>
    </row>
    <row r="18" s="8" customFormat="1" ht="19.5" customHeight="1" spans="3:21">
      <c r="C18" s="24">
        <v>7</v>
      </c>
      <c r="D18" s="25" t="s">
        <v>66</v>
      </c>
      <c r="E18" s="26">
        <v>70</v>
      </c>
      <c r="F18" s="22" cm="1">
        <f t="array" ref="F18">_xlfn.IFS(E18=45,450,E18=56,900,E18=70,1350)</f>
        <v>1350</v>
      </c>
      <c r="G18" s="22" cm="1">
        <f t="array" ref="G18">_xlfn.IFS(F18=450,4500,F18=900,1450,F18=1350,27800)</f>
        <v>27800</v>
      </c>
      <c r="H18" s="23">
        <v>6000</v>
      </c>
      <c r="I18" s="23">
        <v>7750</v>
      </c>
      <c r="J18" s="34" cm="1">
        <f t="array" ref="J18">_xlfn.IFS(F18=450,125,F18=900,184,F18=1350,214)</f>
        <v>214</v>
      </c>
      <c r="K18" s="35">
        <f t="shared" si="0"/>
        <v>288900</v>
      </c>
      <c r="M18" s="9"/>
      <c r="N18" s="61" t="s">
        <v>67</v>
      </c>
      <c r="O18" s="9"/>
      <c r="P18" s="9"/>
      <c r="Q18" s="9"/>
      <c r="R18" s="9"/>
      <c r="S18" s="9"/>
      <c r="T18" s="9"/>
      <c r="U18" s="9"/>
    </row>
    <row r="19" s="8" customFormat="1" ht="19.5" customHeight="1" spans="3:21">
      <c r="C19" s="24">
        <v>8</v>
      </c>
      <c r="D19" s="25" t="s">
        <v>68</v>
      </c>
      <c r="E19" s="26">
        <v>56</v>
      </c>
      <c r="F19" s="22" cm="1">
        <f t="array" ref="F19">_xlfn.IFS(E19=45,450,E19=56,900,E19=70,1350)</f>
        <v>900</v>
      </c>
      <c r="G19" s="22" cm="1">
        <f t="array" ref="G19">_xlfn.IFS(F19=450,4500,F19=900,1450,F19=1350,27800)</f>
        <v>1450</v>
      </c>
      <c r="H19" s="26">
        <v>6250</v>
      </c>
      <c r="I19" s="26">
        <v>8250</v>
      </c>
      <c r="J19" s="34" cm="1">
        <f t="array" ref="J19">_xlfn.IFS(F19=450,125,F19=900,184,F19=1350,214)</f>
        <v>184</v>
      </c>
      <c r="K19" s="35">
        <f t="shared" si="0"/>
        <v>165600</v>
      </c>
      <c r="M19" s="9"/>
      <c r="N19" s="61" t="s">
        <v>69</v>
      </c>
      <c r="O19" s="9"/>
      <c r="P19" s="9"/>
      <c r="Q19" s="9"/>
      <c r="R19" s="9"/>
      <c r="S19" s="9"/>
      <c r="T19" s="9"/>
      <c r="U19" s="9"/>
    </row>
    <row r="20" s="8" customFormat="1" ht="19.5" customHeight="1" spans="3:21">
      <c r="C20" s="24">
        <v>9</v>
      </c>
      <c r="D20" s="25" t="s">
        <v>70</v>
      </c>
      <c r="E20" s="26">
        <v>70</v>
      </c>
      <c r="F20" s="22" cm="1">
        <f t="array" ref="F20">_xlfn.IFS(E20=45,450,E20=56,900,E20=70,1350)</f>
        <v>1350</v>
      </c>
      <c r="G20" s="22" cm="1">
        <f t="array" ref="G20">_xlfn.IFS(F20=450,4500,F20=900,1450,F20=1350,27800)</f>
        <v>27800</v>
      </c>
      <c r="H20" s="23">
        <v>6500</v>
      </c>
      <c r="I20" s="23">
        <v>8750</v>
      </c>
      <c r="J20" s="34" cm="1">
        <f t="array" ref="J20">_xlfn.IFS(F20=450,125,F20=900,184,F20=1350,214)</f>
        <v>214</v>
      </c>
      <c r="K20" s="35">
        <f t="shared" si="0"/>
        <v>288900</v>
      </c>
      <c r="M20" s="9"/>
      <c r="N20" s="61" t="s">
        <v>71</v>
      </c>
      <c r="O20" s="9"/>
      <c r="P20" s="9"/>
      <c r="Q20" s="9"/>
      <c r="R20" s="9"/>
      <c r="S20" s="9"/>
      <c r="T20" s="9"/>
      <c r="U20" s="9"/>
    </row>
    <row r="21" s="8" customFormat="1" ht="19.5" customHeight="1" spans="3:21">
      <c r="C21" s="27">
        <v>10</v>
      </c>
      <c r="D21" s="28" t="s">
        <v>72</v>
      </c>
      <c r="E21" s="29">
        <v>45</v>
      </c>
      <c r="F21" s="22" cm="1">
        <f t="array" ref="F21">_xlfn.IFS(E21=45,450,E21=56,900,E21=70,1350)</f>
        <v>450</v>
      </c>
      <c r="G21" s="22" cm="1">
        <f t="array" ref="G21">_xlfn.IFS(F21=450,4500,F21=900,1450,F21=1350,27800)</f>
        <v>4500</v>
      </c>
      <c r="H21" s="26">
        <v>6750</v>
      </c>
      <c r="I21" s="26">
        <v>9250</v>
      </c>
      <c r="J21" s="34" cm="1">
        <f t="array" ref="J21">_xlfn.IFS(F21=450,125,F21=900,184,F21=1350,214)</f>
        <v>125</v>
      </c>
      <c r="K21" s="35">
        <f t="shared" si="0"/>
        <v>56250</v>
      </c>
      <c r="M21" s="14"/>
      <c r="N21" s="14"/>
      <c r="O21" s="14"/>
      <c r="P21" s="14"/>
      <c r="Q21" s="14"/>
      <c r="R21" s="14"/>
      <c r="S21" s="14"/>
      <c r="T21" s="14"/>
      <c r="U21" s="14"/>
    </row>
    <row r="22" s="9" customFormat="1" ht="23.25" customHeight="1" spans="3:11">
      <c r="C22" s="30" t="s">
        <v>73</v>
      </c>
      <c r="D22" s="31"/>
      <c r="E22" s="31"/>
      <c r="F22" s="31"/>
      <c r="G22" s="31"/>
      <c r="H22" s="31"/>
      <c r="I22" s="31"/>
      <c r="J22" s="31"/>
      <c r="K22" s="37">
        <f>SUM(K12:K21)</f>
        <v>1821150</v>
      </c>
    </row>
    <row r="23" ht="13.25"/>
    <row r="24" s="9" customFormat="1" spans="4:4">
      <c r="D24" s="8"/>
    </row>
  </sheetData>
  <mergeCells count="11">
    <mergeCell ref="C1:D1"/>
    <mergeCell ref="D4:K4"/>
    <mergeCell ref="D5:K5"/>
    <mergeCell ref="C8:K8"/>
    <mergeCell ref="M21:U21"/>
    <mergeCell ref="C22:J22"/>
    <mergeCell ref="C10:C11"/>
    <mergeCell ref="D10:D11"/>
    <mergeCell ref="E10:E11"/>
    <mergeCell ref="F10:F11"/>
    <mergeCell ref="K10:K1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"/>
  <sheetViews>
    <sheetView tabSelected="1" zoomScale="71" zoomScaleNormal="71" workbookViewId="0">
      <selection activeCell="L2" sqref="L2"/>
    </sheetView>
  </sheetViews>
  <sheetFormatPr defaultColWidth="14.4545454545455" defaultRowHeight="15" customHeight="1"/>
  <cols>
    <col min="1" max="1" width="25" style="1" customWidth="1"/>
    <col min="2" max="3" width="8.72727272727273" style="1" customWidth="1"/>
    <col min="4" max="4" width="11" style="1" customWidth="1"/>
    <col min="5" max="5" width="8.72727272727273" style="1" customWidth="1"/>
    <col min="6" max="6" width="9.54545454545454" style="1" customWidth="1"/>
    <col min="7" max="7" width="21.5454545454545" style="1" customWidth="1"/>
    <col min="8" max="8" width="22.2727272727273" style="1" customWidth="1"/>
    <col min="9" max="9" width="18.8181818181818" style="1" customWidth="1"/>
    <col min="10" max="10" width="20.8181818181818" style="1" customWidth="1"/>
    <col min="11" max="11" width="20.7272727272727" style="1" customWidth="1"/>
    <col min="12" max="12" width="24.7272727272727" style="1" customWidth="1"/>
    <col min="13" max="13" width="25.4545454545455" style="1" customWidth="1"/>
    <col min="14" max="26" width="8.72727272727273" style="1" customWidth="1"/>
    <col min="27" max="16384" width="14.4545454545455" style="1"/>
  </cols>
  <sheetData>
    <row r="1" s="1" customFormat="1" ht="29" spans="1:14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  <c r="N1" s="7"/>
    </row>
    <row r="2" s="1" customFormat="1" ht="14.5" spans="1:13">
      <c r="A2" s="3">
        <v>1</v>
      </c>
      <c r="B2" s="3" t="s">
        <v>87</v>
      </c>
      <c r="C2" s="3">
        <v>5</v>
      </c>
      <c r="D2" s="4">
        <v>2500000</v>
      </c>
      <c r="E2" s="3" t="s">
        <v>88</v>
      </c>
      <c r="F2" s="3">
        <v>0</v>
      </c>
      <c r="G2" s="3" t="str">
        <f t="shared" ref="G2:G8" si="0">IF(AND(C2&gt;=5,E2="ya"),"mendapatkan","tidak mendapatkan")</f>
        <v>mendapatkan</v>
      </c>
      <c r="H2" s="3" t="str">
        <f t="shared" ref="H2:H8" si="1">IF(OR(D2&gt;=3000000,E2="ya"),"mendapatkan","tidak mendapatkan")</f>
        <v>mendapatkan</v>
      </c>
      <c r="I2" s="3" t="str">
        <f t="shared" ref="I2:I8" si="2">IF(AND(D2&gt;=2000000,F2&gt;=0),"mendapatkan","tidak mendapatkan")</f>
        <v>mendapatkan</v>
      </c>
      <c r="J2" s="3" t="str">
        <f t="shared" ref="J2:J8" si="3">IF(OR(C2&gt;=7,D2&gt;=4000000),"mendapatkan","tidak mendapatkan")</f>
        <v>tidak mendapatkan</v>
      </c>
      <c r="K2" s="3" t="str">
        <f t="shared" ref="K2:K8" si="4">IF(AND(F2&gt;=0,E2="ya"),"mendapatkan","tidak mendapatkan")</f>
        <v>mendapatkan</v>
      </c>
      <c r="L2" s="3" t="str">
        <f>IF(OR(C2&gt;=10,E2="ya"),"mendapatkan","tidak mendapatkan")</f>
        <v>mendapatkan</v>
      </c>
      <c r="M2" s="3" t="str">
        <f t="shared" ref="M2:M8" si="5">IF(AND(C2&gt;=3,F2&lt;1),"mendapatkan","tidak mendapatkan")</f>
        <v>mendapatkan</v>
      </c>
    </row>
    <row r="3" s="1" customFormat="1" ht="14.5" spans="1:13">
      <c r="A3" s="3">
        <v>2</v>
      </c>
      <c r="B3" s="3" t="s">
        <v>89</v>
      </c>
      <c r="C3" s="3">
        <v>2</v>
      </c>
      <c r="D3" s="4">
        <v>900000</v>
      </c>
      <c r="E3" s="3" t="s">
        <v>90</v>
      </c>
      <c r="F3" s="3">
        <v>1</v>
      </c>
      <c r="G3" s="3" t="str">
        <f t="shared" si="0"/>
        <v>tidak mendapatkan</v>
      </c>
      <c r="H3" s="3" t="str">
        <f t="shared" si="1"/>
        <v>tidak mendapatkan</v>
      </c>
      <c r="I3" s="3" t="str">
        <f t="shared" si="2"/>
        <v>tidak mendapatkan</v>
      </c>
      <c r="J3" s="3" t="str">
        <f t="shared" si="3"/>
        <v>tidak mendapatkan</v>
      </c>
      <c r="K3" s="3" t="str">
        <f t="shared" si="4"/>
        <v>tidak mendapatkan</v>
      </c>
      <c r="L3" s="3" t="str">
        <f t="shared" ref="L2:L8" si="6">IF(OR(C3&gt;=10,E3="ya"),"mendapatkan","tidak mendapatkan")</f>
        <v>tidak mendapatkan</v>
      </c>
      <c r="M3" s="3" t="str">
        <f t="shared" si="5"/>
        <v>tidak mendapatkan</v>
      </c>
    </row>
    <row r="4" s="1" customFormat="1" ht="14.5" spans="1:13">
      <c r="A4" s="3">
        <v>3</v>
      </c>
      <c r="B4" s="3" t="s">
        <v>91</v>
      </c>
      <c r="C4" s="3">
        <v>7</v>
      </c>
      <c r="D4" s="4">
        <v>3800000</v>
      </c>
      <c r="E4" s="3" t="s">
        <v>88</v>
      </c>
      <c r="F4" s="3">
        <v>0</v>
      </c>
      <c r="G4" s="3" t="str">
        <f t="shared" si="0"/>
        <v>mendapatkan</v>
      </c>
      <c r="H4" s="3" t="str">
        <f t="shared" si="1"/>
        <v>mendapatkan</v>
      </c>
      <c r="I4" s="3" t="str">
        <f t="shared" si="2"/>
        <v>mendapatkan</v>
      </c>
      <c r="J4" s="3" t="str">
        <f t="shared" si="3"/>
        <v>mendapatkan</v>
      </c>
      <c r="K4" s="3" t="str">
        <f t="shared" si="4"/>
        <v>mendapatkan</v>
      </c>
      <c r="L4" s="3" t="str">
        <f t="shared" si="6"/>
        <v>mendapatkan</v>
      </c>
      <c r="M4" s="3" t="str">
        <f t="shared" si="5"/>
        <v>mendapatkan</v>
      </c>
    </row>
    <row r="5" s="1" customFormat="1" ht="14.5" spans="1:13">
      <c r="A5" s="3">
        <v>4</v>
      </c>
      <c r="B5" s="3" t="s">
        <v>92</v>
      </c>
      <c r="C5" s="3">
        <v>3</v>
      </c>
      <c r="D5" s="4">
        <v>1600000</v>
      </c>
      <c r="E5" s="3" t="s">
        <v>90</v>
      </c>
      <c r="F5" s="3">
        <v>0</v>
      </c>
      <c r="G5" s="3" t="str">
        <f t="shared" si="0"/>
        <v>tidak mendapatkan</v>
      </c>
      <c r="H5" s="3" t="str">
        <f t="shared" si="1"/>
        <v>tidak mendapatkan</v>
      </c>
      <c r="I5" s="3" t="str">
        <f t="shared" si="2"/>
        <v>tidak mendapatkan</v>
      </c>
      <c r="J5" s="3" t="str">
        <f t="shared" si="3"/>
        <v>tidak mendapatkan</v>
      </c>
      <c r="K5" s="3" t="str">
        <f t="shared" si="4"/>
        <v>tidak mendapatkan</v>
      </c>
      <c r="L5" s="3" t="str">
        <f t="shared" si="6"/>
        <v>tidak mendapatkan</v>
      </c>
      <c r="M5" s="3" t="str">
        <f t="shared" si="5"/>
        <v>mendapatkan</v>
      </c>
    </row>
    <row r="6" s="1" customFormat="1" ht="14.5" spans="1:13">
      <c r="A6" s="3">
        <v>5</v>
      </c>
      <c r="B6" s="3" t="s">
        <v>93</v>
      </c>
      <c r="C6" s="3">
        <v>1</v>
      </c>
      <c r="D6" s="4">
        <v>500000</v>
      </c>
      <c r="E6" s="3" t="s">
        <v>88</v>
      </c>
      <c r="F6" s="3">
        <v>2</v>
      </c>
      <c r="G6" s="3" t="str">
        <f t="shared" si="0"/>
        <v>tidak mendapatkan</v>
      </c>
      <c r="H6" s="3" t="str">
        <f t="shared" si="1"/>
        <v>mendapatkan</v>
      </c>
      <c r="I6" s="3" t="str">
        <f t="shared" si="2"/>
        <v>tidak mendapatkan</v>
      </c>
      <c r="J6" s="3" t="str">
        <f t="shared" si="3"/>
        <v>tidak mendapatkan</v>
      </c>
      <c r="K6" s="3" t="str">
        <f t="shared" si="4"/>
        <v>mendapatkan</v>
      </c>
      <c r="L6" s="3" t="str">
        <f t="shared" si="6"/>
        <v>mendapatkan</v>
      </c>
      <c r="M6" s="3" t="str">
        <f t="shared" si="5"/>
        <v>tidak mendapatkan</v>
      </c>
    </row>
    <row r="7" s="1" customFormat="1" ht="14.5" spans="1:13">
      <c r="A7" s="3">
        <v>6</v>
      </c>
      <c r="B7" s="3" t="s">
        <v>94</v>
      </c>
      <c r="C7" s="3">
        <v>10</v>
      </c>
      <c r="D7" s="4">
        <v>5000000</v>
      </c>
      <c r="E7" s="3" t="s">
        <v>90</v>
      </c>
      <c r="F7" s="3">
        <v>0</v>
      </c>
      <c r="G7" s="3" t="str">
        <f t="shared" si="0"/>
        <v>tidak mendapatkan</v>
      </c>
      <c r="H7" s="3" t="str">
        <f t="shared" si="1"/>
        <v>mendapatkan</v>
      </c>
      <c r="I7" s="3" t="str">
        <f t="shared" si="2"/>
        <v>mendapatkan</v>
      </c>
      <c r="J7" s="3" t="str">
        <f t="shared" si="3"/>
        <v>mendapatkan</v>
      </c>
      <c r="K7" s="3" t="str">
        <f t="shared" si="4"/>
        <v>tidak mendapatkan</v>
      </c>
      <c r="L7" s="3" t="str">
        <f t="shared" si="6"/>
        <v>mendapatkan</v>
      </c>
      <c r="M7" s="3" t="str">
        <f t="shared" si="5"/>
        <v>mendapatkan</v>
      </c>
    </row>
    <row r="8" s="1" customFormat="1" ht="14.5" spans="1:13">
      <c r="A8" s="3">
        <v>7</v>
      </c>
      <c r="B8" s="3" t="s">
        <v>95</v>
      </c>
      <c r="C8" s="3">
        <v>4</v>
      </c>
      <c r="D8" s="4">
        <v>2200000</v>
      </c>
      <c r="E8" s="3" t="s">
        <v>88</v>
      </c>
      <c r="F8" s="3">
        <v>1</v>
      </c>
      <c r="G8" s="3" t="str">
        <f t="shared" si="0"/>
        <v>tidak mendapatkan</v>
      </c>
      <c r="H8" s="3" t="str">
        <f t="shared" si="1"/>
        <v>mendapatkan</v>
      </c>
      <c r="I8" s="3" t="str">
        <f t="shared" si="2"/>
        <v>mendapatkan</v>
      </c>
      <c r="J8" s="3" t="str">
        <f t="shared" si="3"/>
        <v>tidak mendapatkan</v>
      </c>
      <c r="K8" s="3" t="str">
        <f t="shared" si="4"/>
        <v>mendapatkan</v>
      </c>
      <c r="L8" s="3" t="str">
        <f t="shared" si="6"/>
        <v>mendapatkan</v>
      </c>
      <c r="M8" s="3" t="str">
        <f t="shared" si="5"/>
        <v>tidak mendapatkan</v>
      </c>
    </row>
    <row r="10" s="1" customFormat="1" ht="18.5" spans="1:4">
      <c r="A10" s="5" t="s">
        <v>96</v>
      </c>
      <c r="D10" s="1" t="s">
        <v>97</v>
      </c>
    </row>
    <row r="11" s="1" customFormat="1" ht="14.5" spans="1:4">
      <c r="A11" s="6" t="s">
        <v>98</v>
      </c>
      <c r="D11" s="1" t="s">
        <v>99</v>
      </c>
    </row>
    <row r="12" s="1" customFormat="1" ht="14.5" spans="1:4">
      <c r="A12" s="6" t="s">
        <v>98</v>
      </c>
      <c r="D12" s="1" t="s">
        <v>100</v>
      </c>
    </row>
    <row r="13" s="1" customFormat="1" ht="14.5" spans="1:4">
      <c r="A13" s="6" t="s">
        <v>98</v>
      </c>
      <c r="D13" s="1" t="s">
        <v>101</v>
      </c>
    </row>
    <row r="14" s="1" customFormat="1" ht="14.5" spans="1:4">
      <c r="A14" s="6" t="s">
        <v>102</v>
      </c>
      <c r="D14" s="1" t="s">
        <v>103</v>
      </c>
    </row>
    <row r="15" s="1" customFormat="1" ht="14.5" spans="1:4">
      <c r="A15" s="6" t="s">
        <v>98</v>
      </c>
      <c r="D15" s="1" t="s">
        <v>104</v>
      </c>
    </row>
    <row r="16" s="1" customFormat="1" ht="14.5" spans="4:4">
      <c r="D16" s="1" t="s">
        <v>105</v>
      </c>
    </row>
    <row r="21" s="1" customFormat="1" ht="15.75" customHeight="1"/>
    <row r="22" s="1" customFormat="1" ht="15.75" customHeight="1"/>
    <row r="23" s="1" customFormat="1" ht="15.75" customHeight="1"/>
    <row r="24" s="1" customFormat="1" ht="15.75" customHeight="1"/>
    <row r="25" s="1" customFormat="1" ht="15.75" customHeight="1"/>
    <row r="26" s="1" customFormat="1" ht="15.75" customHeight="1"/>
    <row r="27" s="1" customFormat="1" ht="15.75" customHeight="1"/>
    <row r="28" s="1" customFormat="1" ht="15.75" customHeight="1"/>
    <row r="29" s="1" customFormat="1" ht="15.75" customHeight="1"/>
    <row r="30" s="1" customFormat="1" ht="15.75" customHeight="1"/>
    <row r="31" s="1" customFormat="1" ht="15.75" customHeight="1"/>
    <row r="32" s="1" customFormat="1" ht="15.75" customHeight="1"/>
    <row r="33" s="1" customFormat="1" ht="15.75" customHeight="1"/>
    <row r="34" s="1" customFormat="1" ht="15.75" customHeight="1"/>
    <row r="35" s="1" customFormat="1" ht="15.75" customHeight="1"/>
    <row r="36" s="1" customFormat="1" ht="15.75" customHeight="1"/>
    <row r="37" s="1" customFormat="1" ht="15.75" customHeight="1"/>
    <row r="38" s="1" customFormat="1" ht="15.75" customHeight="1"/>
    <row r="39" s="1" customFormat="1" ht="15.75" customHeight="1"/>
    <row r="40" s="1" customFormat="1" ht="15.75" customHeight="1"/>
    <row r="41" s="1" customFormat="1" ht="15.75" customHeight="1"/>
    <row r="42" s="1" customFormat="1" ht="15.75" customHeight="1"/>
    <row r="43" s="1" customFormat="1" ht="15.75" customHeight="1"/>
    <row r="44" s="1" customFormat="1" ht="15.75" customHeight="1"/>
    <row r="45" s="1" customFormat="1" ht="15.75" customHeight="1"/>
    <row r="46" s="1" customFormat="1" ht="15.75" customHeight="1"/>
    <row r="47" s="1" customFormat="1" ht="15.75" customHeight="1"/>
    <row r="48" s="1" customFormat="1" ht="15.75" customHeight="1"/>
    <row r="49" s="1" customFormat="1" ht="15.75" customHeight="1"/>
    <row r="50" s="1" customFormat="1" ht="15.75" customHeight="1"/>
    <row r="51" s="1" customFormat="1" ht="15.75" customHeight="1"/>
    <row r="52" s="1" customFormat="1" ht="15.75" customHeight="1"/>
    <row r="53" s="1" customFormat="1" ht="15.75" customHeight="1"/>
    <row r="54" s="1" customFormat="1" ht="15.75" customHeight="1"/>
    <row r="55" s="1" customFormat="1" ht="15.75" customHeight="1"/>
    <row r="56" s="1" customFormat="1" ht="15.75" customHeight="1"/>
    <row r="57" s="1" customFormat="1" ht="15.75" customHeight="1"/>
    <row r="58" s="1" customFormat="1" ht="15.75" customHeight="1"/>
    <row r="59" s="1" customFormat="1" ht="15.75" customHeight="1"/>
    <row r="60" s="1" customFormat="1" ht="15.75" customHeight="1"/>
    <row r="61" s="1" customFormat="1" ht="15.75" customHeight="1"/>
    <row r="62" s="1" customFormat="1" ht="15.75" customHeight="1"/>
    <row r="63" s="1" customFormat="1" ht="15.75" customHeight="1"/>
    <row r="64" s="1" customFormat="1" ht="15.75" customHeight="1"/>
    <row r="65" s="1" customFormat="1" ht="15.75" customHeight="1"/>
    <row r="66" s="1" customFormat="1" ht="15.75" customHeight="1"/>
    <row r="67" s="1" customFormat="1" ht="15.75" customHeight="1"/>
    <row r="68" s="1" customFormat="1" ht="15.75" customHeight="1"/>
    <row r="69" s="1" customFormat="1" ht="15.75" customHeight="1"/>
    <row r="70" s="1" customFormat="1" ht="15.75" customHeight="1"/>
    <row r="71" s="1" customFormat="1" ht="15.75" customHeight="1"/>
    <row r="72" s="1" customFormat="1" ht="15.75" customHeight="1"/>
    <row r="73" s="1" customFormat="1" ht="15.75" customHeight="1"/>
    <row r="74" s="1" customFormat="1" ht="15.75" customHeight="1"/>
    <row r="75" s="1" customFormat="1" ht="15.75" customHeight="1"/>
    <row r="76" s="1" customFormat="1" ht="15.75" customHeight="1"/>
    <row r="77" s="1" customFormat="1" ht="15.75" customHeight="1"/>
    <row r="78" s="1" customFormat="1" ht="15.75" customHeight="1"/>
    <row r="79" s="1" customFormat="1" ht="15.75" customHeight="1"/>
    <row r="80" s="1" customFormat="1" ht="15.75" customHeight="1"/>
    <row r="81" s="1" customFormat="1" ht="15.75" customHeight="1"/>
    <row r="82" s="1" customFormat="1" ht="15.75" customHeight="1"/>
    <row r="83" s="1" customFormat="1" ht="15.75" customHeight="1"/>
    <row r="84" s="1" customFormat="1" ht="15.75" customHeight="1"/>
    <row r="85" s="1" customFormat="1" ht="15.75" customHeight="1"/>
    <row r="86" s="1" customFormat="1" ht="15.75" customHeight="1"/>
    <row r="87" s="1" customFormat="1" ht="15.75" customHeight="1"/>
    <row r="88" s="1" customFormat="1" ht="15.75" customHeight="1"/>
    <row r="89" s="1" customFormat="1" ht="15.75" customHeight="1"/>
    <row r="90" s="1" customFormat="1" ht="15.75" customHeight="1"/>
    <row r="91" s="1" customFormat="1" ht="15.75" customHeight="1"/>
    <row r="92" s="1" customFormat="1" ht="15.75" customHeight="1"/>
    <row r="93" s="1" customFormat="1" ht="15.75" customHeight="1"/>
    <row r="94" s="1" customFormat="1" ht="15.75" customHeight="1"/>
    <row r="95" s="1" customFormat="1" ht="15.75" customHeight="1"/>
    <row r="96" s="1" customFormat="1" ht="15.75" customHeight="1"/>
    <row r="97" s="1" customFormat="1" ht="15.75" customHeight="1"/>
    <row r="98" s="1" customFormat="1" ht="15.75" customHeight="1"/>
    <row r="99" s="1" customFormat="1" ht="15.75" customHeight="1"/>
    <row r="100" s="1" customFormat="1" ht="15.75" customHeight="1"/>
    <row r="101" s="1" customFormat="1" ht="15.75" customHeight="1"/>
    <row r="102" s="1" customFormat="1" ht="15.75" customHeight="1"/>
    <row r="103" s="1" customFormat="1" ht="15.75" customHeight="1"/>
    <row r="104" s="1" customFormat="1" ht="15.75" customHeight="1"/>
    <row r="105" s="1" customFormat="1" ht="15.75" customHeight="1"/>
    <row r="106" s="1" customFormat="1" ht="15.75" customHeight="1"/>
    <row r="107" s="1" customFormat="1" ht="15.75" customHeight="1"/>
    <row r="108" s="1" customFormat="1" ht="15.75" customHeight="1"/>
    <row r="109" s="1" customFormat="1" ht="15.75" customHeight="1"/>
    <row r="110" s="1" customFormat="1" ht="15.75" customHeight="1"/>
    <row r="111" s="1" customFormat="1" ht="15.75" customHeight="1"/>
    <row r="112" s="1" customFormat="1" ht="15.75" customHeight="1"/>
    <row r="113" s="1" customFormat="1" ht="15.75" customHeight="1"/>
    <row r="114" s="1" customFormat="1" ht="15.75" customHeight="1"/>
    <row r="115" s="1" customFormat="1" ht="15.75" customHeight="1"/>
    <row r="116" s="1" customFormat="1" ht="15.75" customHeight="1"/>
    <row r="117" s="1" customFormat="1" ht="15.75" customHeight="1"/>
    <row r="118" s="1" customFormat="1" ht="15.75" customHeight="1"/>
    <row r="119" s="1" customFormat="1" ht="15.75" customHeight="1"/>
    <row r="120" s="1" customFormat="1" ht="15.75" customHeight="1"/>
    <row r="121" s="1" customFormat="1" ht="15.75" customHeight="1"/>
    <row r="122" s="1" customFormat="1" ht="15.75" customHeight="1"/>
    <row r="123" s="1" customFormat="1" ht="15.75" customHeight="1"/>
    <row r="124" s="1" customFormat="1" ht="15.75" customHeight="1"/>
    <row r="125" s="1" customFormat="1" ht="15.75" customHeight="1"/>
    <row r="126" s="1" customFormat="1" ht="15.75" customHeight="1"/>
    <row r="127" s="1" customFormat="1" ht="15.75" customHeight="1"/>
    <row r="128" s="1" customFormat="1" ht="15.75" customHeight="1"/>
    <row r="129" s="1" customFormat="1" ht="15.75" customHeight="1"/>
    <row r="130" s="1" customFormat="1" ht="15.75" customHeight="1"/>
    <row r="131" s="1" customFormat="1" ht="15.75" customHeight="1"/>
    <row r="132" s="1" customFormat="1" ht="15.75" customHeight="1"/>
    <row r="133" s="1" customFormat="1" ht="15.75" customHeight="1"/>
    <row r="134" s="1" customFormat="1" ht="15.75" customHeight="1"/>
    <row r="135" s="1" customFormat="1" ht="15.75" customHeight="1"/>
    <row r="136" s="1" customFormat="1" ht="15.75" customHeight="1"/>
    <row r="137" s="1" customFormat="1" ht="15.75" customHeight="1"/>
    <row r="138" s="1" customFormat="1" ht="15.75" customHeight="1"/>
    <row r="139" s="1" customFormat="1" ht="15.75" customHeight="1"/>
    <row r="140" s="1" customFormat="1" ht="15.75" customHeight="1"/>
    <row r="141" s="1" customFormat="1" ht="15.75" customHeight="1"/>
    <row r="142" s="1" customFormat="1" ht="15.75" customHeight="1"/>
    <row r="143" s="1" customFormat="1" ht="15.75" customHeight="1"/>
    <row r="144" s="1" customFormat="1" ht="15.75" customHeight="1"/>
    <row r="145" s="1" customFormat="1" ht="15.75" customHeight="1"/>
    <row r="146" s="1" customFormat="1" ht="15.75" customHeight="1"/>
    <row r="147" s="1" customFormat="1" ht="15.75" customHeight="1"/>
    <row r="148" s="1" customFormat="1" ht="15.75" customHeight="1"/>
    <row r="149" s="1" customFormat="1" ht="15.75" customHeight="1"/>
    <row r="150" s="1" customFormat="1" ht="15.75" customHeight="1"/>
    <row r="151" s="1" customFormat="1" ht="15.75" customHeight="1"/>
    <row r="152" s="1" customFormat="1" ht="15.75" customHeight="1"/>
    <row r="153" s="1" customFormat="1" ht="15.75" customHeight="1"/>
    <row r="154" s="1" customFormat="1" ht="15.75" customHeight="1"/>
    <row r="155" s="1" customFormat="1" ht="15.75" customHeight="1"/>
    <row r="156" s="1" customFormat="1" ht="15.75" customHeight="1"/>
    <row r="157" s="1" customFormat="1" ht="15.75" customHeight="1"/>
    <row r="158" s="1" customFormat="1" ht="15.75" customHeight="1"/>
    <row r="159" s="1" customFormat="1" ht="15.75" customHeight="1"/>
    <row r="160" s="1" customFormat="1" ht="15.75" customHeight="1"/>
    <row r="161" s="1" customFormat="1" ht="15.75" customHeight="1"/>
    <row r="162" s="1" customFormat="1" ht="15.75" customHeight="1"/>
    <row r="163" s="1" customFormat="1" ht="15.75" customHeight="1"/>
    <row r="164" s="1" customFormat="1" ht="15.75" customHeight="1"/>
    <row r="165" s="1" customFormat="1" ht="15.75" customHeight="1"/>
    <row r="166" s="1" customFormat="1" ht="15.75" customHeight="1"/>
    <row r="167" s="1" customFormat="1" ht="15.75" customHeight="1"/>
    <row r="168" s="1" customFormat="1" ht="15.75" customHeight="1"/>
    <row r="169" s="1" customFormat="1" ht="15.75" customHeight="1"/>
    <row r="170" s="1" customFormat="1" ht="15.75" customHeight="1"/>
    <row r="171" s="1" customFormat="1" ht="15.75" customHeight="1"/>
    <row r="172" s="1" customFormat="1" ht="15.75" customHeight="1"/>
    <row r="173" s="1" customFormat="1" ht="15.75" customHeight="1"/>
    <row r="174" s="1" customFormat="1" ht="15.75" customHeight="1"/>
    <row r="175" s="1" customFormat="1" ht="15.75" customHeight="1"/>
    <row r="176" s="1" customFormat="1" ht="15.75" customHeight="1"/>
    <row r="177" s="1" customFormat="1" ht="15.75" customHeight="1"/>
    <row r="178" s="1" customFormat="1" ht="15.75" customHeight="1"/>
    <row r="179" s="1" customFormat="1" ht="15.75" customHeight="1"/>
    <row r="180" s="1" customFormat="1" ht="15.75" customHeight="1"/>
    <row r="181" s="1" customFormat="1" ht="15.75" customHeight="1"/>
    <row r="182" s="1" customFormat="1" ht="15.75" customHeight="1"/>
    <row r="183" s="1" customFormat="1" ht="15.75" customHeight="1"/>
    <row r="184" s="1" customFormat="1" ht="15.75" customHeight="1"/>
    <row r="185" s="1" customFormat="1" ht="15.75" customHeight="1"/>
    <row r="186" s="1" customFormat="1" ht="15.75" customHeight="1"/>
    <row r="187" s="1" customFormat="1" ht="15.75" customHeight="1"/>
    <row r="188" s="1" customFormat="1" ht="15.75" customHeight="1"/>
    <row r="189" s="1" customFormat="1" ht="15.75" customHeight="1"/>
    <row r="190" s="1" customFormat="1" ht="15.75" customHeight="1"/>
    <row r="191" s="1" customFormat="1" ht="15.75" customHeight="1"/>
    <row r="192" s="1" customFormat="1" ht="15.75" customHeight="1"/>
    <row r="193" s="1" customFormat="1" ht="15.75" customHeight="1"/>
    <row r="194" s="1" customFormat="1" ht="15.75" customHeight="1"/>
    <row r="195" s="1" customFormat="1" ht="15.75" customHeight="1"/>
    <row r="196" s="1" customFormat="1" ht="15.75" customHeight="1"/>
    <row r="197" s="1" customFormat="1" ht="15.75" customHeight="1"/>
    <row r="198" s="1" customFormat="1" ht="15.75" customHeight="1"/>
    <row r="199" s="1" customFormat="1" ht="15.75" customHeight="1"/>
    <row r="200" s="1" customFormat="1" ht="15.75" customHeight="1"/>
    <row r="201" s="1" customFormat="1" ht="15.75" customHeight="1"/>
    <row r="202" s="1" customFormat="1" ht="15.75" customHeight="1"/>
    <row r="203" s="1" customFormat="1" ht="15.75" customHeight="1"/>
    <row r="204" s="1" customFormat="1" ht="15.75" customHeight="1"/>
    <row r="205" s="1" customFormat="1" ht="15.75" customHeight="1"/>
    <row r="206" s="1" customFormat="1" ht="15.75" customHeight="1"/>
    <row r="207" s="1" customFormat="1" ht="15.75" customHeight="1"/>
    <row r="208" s="1" customFormat="1" ht="15.75" customHeight="1"/>
    <row r="209" s="1" customFormat="1" ht="15.75" customHeight="1"/>
    <row r="210" s="1" customFormat="1" ht="15.75" customHeight="1"/>
    <row r="211" s="1" customFormat="1" ht="15.75" customHeight="1"/>
    <row r="212" s="1" customFormat="1" ht="15.75" customHeight="1"/>
    <row r="213" s="1" customFormat="1" ht="15.75" customHeight="1"/>
    <row r="214" s="1" customFormat="1" ht="15.75" customHeight="1"/>
    <row r="215" s="1" customFormat="1" ht="15.75" customHeight="1"/>
    <row r="216" s="1" customFormat="1" ht="15.75" customHeight="1"/>
    <row r="217" s="1" customFormat="1" ht="15.75" customHeight="1"/>
    <row r="218" s="1" customFormat="1" ht="15.75" customHeight="1"/>
    <row r="219" s="1" customFormat="1" ht="15.75" customHeight="1"/>
    <row r="220" s="1" customFormat="1" ht="15.75" customHeight="1"/>
    <row r="221" s="1" customFormat="1" ht="15.75" customHeight="1"/>
    <row r="222" s="1" customFormat="1" ht="15.75" customHeight="1"/>
    <row r="223" s="1" customFormat="1" ht="15.75" customHeight="1"/>
    <row r="224" s="1" customFormat="1" ht="15.75" customHeight="1"/>
    <row r="225" s="1" customFormat="1" ht="15.75" customHeight="1"/>
    <row r="226" s="1" customFormat="1" ht="15.75" customHeight="1"/>
    <row r="227" s="1" customFormat="1" ht="15.75" customHeight="1"/>
    <row r="228" s="1" customFormat="1" ht="15.75" customHeight="1"/>
    <row r="229" s="1" customFormat="1" ht="15.75" customHeight="1"/>
    <row r="230" s="1" customFormat="1" ht="15.75" customHeight="1"/>
    <row r="231" s="1" customFormat="1" ht="15.75" customHeight="1"/>
    <row r="232" s="1" customFormat="1" ht="15.75" customHeight="1"/>
    <row r="233" s="1" customFormat="1" ht="15.75" customHeight="1"/>
    <row r="234" s="1" customFormat="1" ht="15.75" customHeight="1"/>
    <row r="235" s="1" customFormat="1" ht="15.75" customHeight="1"/>
    <row r="236" s="1" customFormat="1" ht="15.75" customHeight="1"/>
    <row r="237" s="1" customFormat="1" ht="15.75" customHeight="1"/>
    <row r="238" s="1" customFormat="1" ht="15.75" customHeight="1"/>
    <row r="239" s="1" customFormat="1" ht="15.75" customHeight="1"/>
    <row r="240" s="1" customFormat="1" ht="15.75" customHeight="1"/>
    <row r="241" s="1" customFormat="1" ht="15.75" customHeight="1"/>
    <row r="242" s="1" customFormat="1" ht="15.75" customHeight="1"/>
    <row r="243" s="1" customFormat="1" ht="15.75" customHeight="1"/>
    <row r="244" s="1" customFormat="1" ht="15.75" customHeight="1"/>
    <row r="245" s="1" customFormat="1" ht="15.75" customHeight="1"/>
    <row r="246" s="1" customFormat="1" ht="15.75" customHeight="1"/>
    <row r="247" s="1" customFormat="1" ht="15.75" customHeight="1"/>
    <row r="248" s="1" customFormat="1" ht="15.75" customHeight="1"/>
    <row r="249" s="1" customFormat="1" ht="15.75" customHeight="1"/>
    <row r="250" s="1" customFormat="1" ht="15.75" customHeight="1"/>
    <row r="251" s="1" customFormat="1" ht="15.75" customHeight="1"/>
    <row r="252" s="1" customFormat="1" ht="15.75" customHeight="1"/>
    <row r="253" s="1" customFormat="1" ht="15.75" customHeight="1"/>
    <row r="254" s="1" customFormat="1" ht="15.75" customHeight="1"/>
    <row r="255" s="1" customFormat="1" ht="15.75" customHeight="1"/>
    <row r="256" s="1" customFormat="1" ht="15.75" customHeight="1"/>
    <row r="257" s="1" customFormat="1" ht="15.75" customHeight="1"/>
    <row r="258" s="1" customFormat="1" ht="15.75" customHeight="1"/>
    <row r="259" s="1" customFormat="1" ht="15.75" customHeight="1"/>
    <row r="260" s="1" customFormat="1" ht="15.75" customHeight="1"/>
    <row r="261" s="1" customFormat="1" ht="15.75" customHeight="1"/>
    <row r="262" s="1" customFormat="1" ht="15.75" customHeight="1"/>
    <row r="263" s="1" customFormat="1" ht="15.75" customHeight="1"/>
    <row r="264" s="1" customFormat="1" ht="15.75" customHeight="1"/>
    <row r="265" s="1" customFormat="1" ht="15.75" customHeight="1"/>
    <row r="266" s="1" customFormat="1" ht="15.75" customHeight="1"/>
    <row r="267" s="1" customFormat="1" ht="15.75" customHeight="1"/>
    <row r="268" s="1" customFormat="1" ht="15.75" customHeight="1"/>
    <row r="269" s="1" customFormat="1" ht="15.75" customHeight="1"/>
    <row r="270" s="1" customFormat="1" ht="15.75" customHeight="1"/>
    <row r="271" s="1" customFormat="1" ht="15.75" customHeight="1"/>
    <row r="272" s="1" customFormat="1" ht="15.75" customHeight="1"/>
    <row r="273" s="1" customFormat="1" ht="15.75" customHeight="1"/>
    <row r="274" s="1" customFormat="1" ht="15.75" customHeight="1"/>
    <row r="275" s="1" customFormat="1" ht="15.75" customHeight="1"/>
    <row r="276" s="1" customFormat="1" ht="15.75" customHeight="1"/>
    <row r="277" s="1" customFormat="1" ht="15.75" customHeight="1"/>
    <row r="278" s="1" customFormat="1" ht="15.75" customHeight="1"/>
    <row r="279" s="1" customFormat="1" ht="15.75" customHeight="1"/>
    <row r="280" s="1" customFormat="1" ht="15.75" customHeight="1"/>
    <row r="281" s="1" customFormat="1" ht="15.75" customHeight="1"/>
    <row r="282" s="1" customFormat="1" ht="15.75" customHeight="1"/>
    <row r="283" s="1" customFormat="1" ht="15.75" customHeight="1"/>
    <row r="284" s="1" customFormat="1" ht="15.75" customHeight="1"/>
    <row r="285" s="1" customFormat="1" ht="15.75" customHeight="1"/>
    <row r="286" s="1" customFormat="1" ht="15.75" customHeight="1"/>
    <row r="287" s="1" customFormat="1" ht="15.75" customHeight="1"/>
    <row r="288" s="1" customFormat="1" ht="15.75" customHeight="1"/>
    <row r="289" s="1" customFormat="1" ht="15.75" customHeight="1"/>
    <row r="290" s="1" customFormat="1" ht="15.75" customHeight="1"/>
    <row r="291" s="1" customFormat="1" ht="15.75" customHeight="1"/>
    <row r="292" s="1" customFormat="1" ht="15.75" customHeight="1"/>
    <row r="293" s="1" customFormat="1" ht="15.75" customHeight="1"/>
    <row r="294" s="1" customFormat="1" ht="15.75" customHeight="1"/>
    <row r="295" s="1" customFormat="1" ht="15.75" customHeight="1"/>
    <row r="296" s="1" customFormat="1" ht="15.75" customHeight="1"/>
    <row r="297" s="1" customFormat="1" ht="15.75" customHeight="1"/>
    <row r="298" s="1" customFormat="1" ht="15.75" customHeight="1"/>
    <row r="299" s="1" customFormat="1" ht="15.75" customHeight="1"/>
    <row r="300" s="1" customFormat="1" ht="15.75" customHeight="1"/>
    <row r="301" s="1" customFormat="1" ht="15.75" customHeight="1"/>
    <row r="302" s="1" customFormat="1" ht="15.75" customHeight="1"/>
    <row r="303" s="1" customFormat="1" ht="15.75" customHeight="1"/>
    <row r="304" s="1" customFormat="1" ht="15.75" customHeight="1"/>
    <row r="305" s="1" customFormat="1" ht="15.75" customHeight="1"/>
    <row r="306" s="1" customFormat="1" ht="15.75" customHeight="1"/>
    <row r="307" s="1" customFormat="1" ht="15.75" customHeight="1"/>
    <row r="308" s="1" customFormat="1" ht="15.75" customHeight="1"/>
    <row r="309" s="1" customFormat="1" ht="15.75" customHeight="1"/>
    <row r="310" s="1" customFormat="1" ht="15.75" customHeight="1"/>
    <row r="311" s="1" customFormat="1" ht="15.75" customHeight="1"/>
    <row r="312" s="1" customFormat="1" ht="15.75" customHeight="1"/>
    <row r="313" s="1" customFormat="1" ht="15.75" customHeight="1"/>
    <row r="314" s="1" customFormat="1" ht="15.75" customHeight="1"/>
    <row r="315" s="1" customFormat="1" ht="15.75" customHeight="1"/>
    <row r="316" s="1" customFormat="1" ht="15.75" customHeight="1"/>
    <row r="317" s="1" customFormat="1" ht="15.75" customHeight="1"/>
    <row r="318" s="1" customFormat="1" ht="15.75" customHeight="1"/>
    <row r="319" s="1" customFormat="1" ht="15.75" customHeight="1"/>
    <row r="320" s="1" customFormat="1" ht="15.75" customHeight="1"/>
    <row r="321" s="1" customFormat="1" ht="15.75" customHeight="1"/>
    <row r="322" s="1" customFormat="1" ht="15.75" customHeight="1"/>
    <row r="323" s="1" customFormat="1" ht="15.75" customHeight="1"/>
    <row r="324" s="1" customFormat="1" ht="15.75" customHeight="1"/>
    <row r="325" s="1" customFormat="1" ht="15.75" customHeight="1"/>
    <row r="326" s="1" customFormat="1" ht="15.75" customHeight="1"/>
    <row r="327" s="1" customFormat="1" ht="15.75" customHeight="1"/>
    <row r="328" s="1" customFormat="1" ht="15.75" customHeight="1"/>
    <row r="329" s="1" customFormat="1" ht="15.75" customHeight="1"/>
    <row r="330" s="1" customFormat="1" ht="15.75" customHeight="1"/>
    <row r="331" s="1" customFormat="1" ht="15.75" customHeight="1"/>
    <row r="332" s="1" customFormat="1" ht="15.75" customHeight="1"/>
    <row r="333" s="1" customFormat="1" ht="15.75" customHeight="1"/>
    <row r="334" s="1" customFormat="1" ht="15.75" customHeight="1"/>
    <row r="335" s="1" customFormat="1" ht="15.75" customHeight="1"/>
    <row r="336" s="1" customFormat="1" ht="15.75" customHeight="1"/>
    <row r="337" s="1" customFormat="1" ht="15.75" customHeight="1"/>
    <row r="338" s="1" customFormat="1" ht="15.75" customHeight="1"/>
    <row r="339" s="1" customFormat="1" ht="15.75" customHeight="1"/>
    <row r="340" s="1" customFormat="1" ht="15.75" customHeight="1"/>
    <row r="341" s="1" customFormat="1" ht="15.75" customHeight="1"/>
    <row r="342" s="1" customFormat="1" ht="15.75" customHeight="1"/>
    <row r="343" s="1" customFormat="1" ht="15.75" customHeight="1"/>
    <row r="344" s="1" customFormat="1" ht="15.75" customHeight="1"/>
    <row r="345" s="1" customFormat="1" ht="15.75" customHeight="1"/>
    <row r="346" s="1" customFormat="1" ht="15.75" customHeight="1"/>
    <row r="347" s="1" customFormat="1" ht="15.75" customHeight="1"/>
    <row r="348" s="1" customFormat="1" ht="15.75" customHeight="1"/>
    <row r="349" s="1" customFormat="1" ht="15.75" customHeight="1"/>
    <row r="350" s="1" customFormat="1" ht="15.75" customHeight="1"/>
    <row r="351" s="1" customFormat="1" ht="15.75" customHeight="1"/>
    <row r="352" s="1" customFormat="1" ht="15.75" customHeight="1"/>
    <row r="353" s="1" customFormat="1" ht="15.75" customHeight="1"/>
    <row r="354" s="1" customFormat="1" ht="15.75" customHeight="1"/>
    <row r="355" s="1" customFormat="1" ht="15.75" customHeight="1"/>
    <row r="356" s="1" customFormat="1" ht="15.75" customHeight="1"/>
    <row r="357" s="1" customFormat="1" ht="15.75" customHeight="1"/>
    <row r="358" s="1" customFormat="1" ht="15.75" customHeight="1"/>
    <row r="359" s="1" customFormat="1" ht="15.75" customHeight="1"/>
    <row r="360" s="1" customFormat="1" ht="15.75" customHeight="1"/>
    <row r="361" s="1" customFormat="1" ht="15.75" customHeight="1"/>
    <row r="362" s="1" customFormat="1" ht="15.75" customHeight="1"/>
    <row r="363" s="1" customFormat="1" ht="15.75" customHeight="1"/>
    <row r="364" s="1" customFormat="1" ht="15.75" customHeight="1"/>
    <row r="365" s="1" customFormat="1" ht="15.75" customHeight="1"/>
    <row r="366" s="1" customFormat="1" ht="15.75" customHeight="1"/>
    <row r="367" s="1" customFormat="1" ht="15.75" customHeight="1"/>
    <row r="368" s="1" customFormat="1" ht="15.75" customHeight="1"/>
    <row r="369" s="1" customFormat="1" ht="15.75" customHeight="1"/>
    <row r="370" s="1" customFormat="1" ht="15.75" customHeight="1"/>
    <row r="371" s="1" customFormat="1" ht="15.75" customHeight="1"/>
    <row r="372" s="1" customFormat="1" ht="15.75" customHeight="1"/>
    <row r="373" s="1" customFormat="1" ht="15.75" customHeight="1"/>
    <row r="374" s="1" customFormat="1" ht="15.75" customHeight="1"/>
    <row r="375" s="1" customFormat="1" ht="15.75" customHeight="1"/>
    <row r="376" s="1" customFormat="1" ht="15.75" customHeight="1"/>
    <row r="377" s="1" customFormat="1" ht="15.75" customHeight="1"/>
    <row r="378" s="1" customFormat="1" ht="15.75" customHeight="1"/>
    <row r="379" s="1" customFormat="1" ht="15.75" customHeight="1"/>
    <row r="380" s="1" customFormat="1" ht="15.75" customHeight="1"/>
    <row r="381" s="1" customFormat="1" ht="15.75" customHeight="1"/>
    <row r="382" s="1" customFormat="1" ht="15.75" customHeight="1"/>
    <row r="383" s="1" customFormat="1" ht="15.75" customHeight="1"/>
    <row r="384" s="1" customFormat="1" ht="15.75" customHeight="1"/>
    <row r="385" s="1" customFormat="1" ht="15.75" customHeight="1"/>
    <row r="386" s="1" customFormat="1" ht="15.75" customHeight="1"/>
    <row r="387" s="1" customFormat="1" ht="15.75" customHeight="1"/>
    <row r="388" s="1" customFormat="1" ht="15.75" customHeight="1"/>
    <row r="389" s="1" customFormat="1" ht="15.75" customHeight="1"/>
    <row r="390" s="1" customFormat="1" ht="15.75" customHeight="1"/>
    <row r="391" s="1" customFormat="1" ht="15.75" customHeight="1"/>
    <row r="392" s="1" customFormat="1" ht="15.75" customHeight="1"/>
    <row r="393" s="1" customFormat="1" ht="15.75" customHeight="1"/>
    <row r="394" s="1" customFormat="1" ht="15.75" customHeight="1"/>
    <row r="395" s="1" customFormat="1" ht="15.75" customHeight="1"/>
    <row r="396" s="1" customFormat="1" ht="15.75" customHeight="1"/>
    <row r="397" s="1" customFormat="1" ht="15.75" customHeight="1"/>
    <row r="398" s="1" customFormat="1" ht="15.75" customHeight="1"/>
    <row r="399" s="1" customFormat="1" ht="15.75" customHeight="1"/>
    <row r="400" s="1" customFormat="1" ht="15.75" customHeight="1"/>
    <row r="401" s="1" customFormat="1" ht="15.75" customHeight="1"/>
    <row r="402" s="1" customFormat="1" ht="15.75" customHeight="1"/>
    <row r="403" s="1" customFormat="1" ht="15.75" customHeight="1"/>
    <row r="404" s="1" customFormat="1" ht="15.75" customHeight="1"/>
    <row r="405" s="1" customFormat="1" ht="15.75" customHeight="1"/>
    <row r="406" s="1" customFormat="1" ht="15.75" customHeight="1"/>
    <row r="407" s="1" customFormat="1" ht="15.75" customHeight="1"/>
    <row r="408" s="1" customFormat="1" ht="15.75" customHeight="1"/>
    <row r="409" s="1" customFormat="1" ht="15.75" customHeight="1"/>
    <row r="410" s="1" customFormat="1" ht="15.75" customHeight="1"/>
    <row r="411" s="1" customFormat="1" ht="15.75" customHeight="1"/>
    <row r="412" s="1" customFormat="1" ht="15.75" customHeight="1"/>
    <row r="413" s="1" customFormat="1" ht="15.75" customHeight="1"/>
    <row r="414" s="1" customFormat="1" ht="15.75" customHeight="1"/>
    <row r="415" s="1" customFormat="1" ht="15.75" customHeight="1"/>
    <row r="416" s="1" customFormat="1" ht="15.75" customHeight="1"/>
    <row r="417" s="1" customFormat="1" ht="15.75" customHeight="1"/>
    <row r="418" s="1" customFormat="1" ht="15.75" customHeight="1"/>
    <row r="419" s="1" customFormat="1" ht="15.75" customHeight="1"/>
    <row r="420" s="1" customFormat="1" ht="15.75" customHeight="1"/>
    <row r="421" s="1" customFormat="1" ht="15.75" customHeight="1"/>
    <row r="422" s="1" customFormat="1" ht="15.75" customHeight="1"/>
    <row r="423" s="1" customFormat="1" ht="15.75" customHeight="1"/>
    <row r="424" s="1" customFormat="1" ht="15.75" customHeight="1"/>
    <row r="425" s="1" customFormat="1" ht="15.75" customHeight="1"/>
    <row r="426" s="1" customFormat="1" ht="15.75" customHeight="1"/>
    <row r="427" s="1" customFormat="1" ht="15.75" customHeight="1"/>
    <row r="428" s="1" customFormat="1" ht="15.75" customHeight="1"/>
    <row r="429" s="1" customFormat="1" ht="15.75" customHeight="1"/>
    <row r="430" s="1" customFormat="1" ht="15.75" customHeight="1"/>
    <row r="431" s="1" customFormat="1" ht="15.75" customHeight="1"/>
    <row r="432" s="1" customFormat="1" ht="15.75" customHeight="1"/>
    <row r="433" s="1" customFormat="1" ht="15.75" customHeight="1"/>
    <row r="434" s="1" customFormat="1" ht="15.75" customHeight="1"/>
    <row r="435" s="1" customFormat="1" ht="15.75" customHeight="1"/>
    <row r="436" s="1" customFormat="1" ht="15.75" customHeight="1"/>
    <row r="437" s="1" customFormat="1" ht="15.75" customHeight="1"/>
    <row r="438" s="1" customFormat="1" ht="15.75" customHeight="1"/>
    <row r="439" s="1" customFormat="1" ht="15.75" customHeight="1"/>
    <row r="440" s="1" customFormat="1" ht="15.75" customHeight="1"/>
    <row r="441" s="1" customFormat="1" ht="15.75" customHeight="1"/>
    <row r="442" s="1" customFormat="1" ht="15.75" customHeight="1"/>
    <row r="443" s="1" customFormat="1" ht="15.75" customHeight="1"/>
    <row r="444" s="1" customFormat="1" ht="15.75" customHeight="1"/>
    <row r="445" s="1" customFormat="1" ht="15.75" customHeight="1"/>
    <row r="446" s="1" customFormat="1" ht="15.75" customHeight="1"/>
    <row r="447" s="1" customFormat="1" ht="15.75" customHeight="1"/>
    <row r="448" s="1" customFormat="1" ht="15.75" customHeight="1"/>
    <row r="449" s="1" customFormat="1" ht="15.75" customHeight="1"/>
    <row r="450" s="1" customFormat="1" ht="15.75" customHeight="1"/>
    <row r="451" s="1" customFormat="1" ht="15.75" customHeight="1"/>
    <row r="452" s="1" customFormat="1" ht="15.75" customHeight="1"/>
    <row r="453" s="1" customFormat="1" ht="15.75" customHeight="1"/>
    <row r="454" s="1" customFormat="1" ht="15.75" customHeight="1"/>
    <row r="455" s="1" customFormat="1" ht="15.75" customHeight="1"/>
    <row r="456" s="1" customFormat="1" ht="15.75" customHeight="1"/>
    <row r="457" s="1" customFormat="1" ht="15.75" customHeight="1"/>
    <row r="458" s="1" customFormat="1" ht="15.75" customHeight="1"/>
    <row r="459" s="1" customFormat="1" ht="15.75" customHeight="1"/>
    <row r="460" s="1" customFormat="1" ht="15.75" customHeight="1"/>
    <row r="461" s="1" customFormat="1" ht="15.75" customHeight="1"/>
    <row r="462" s="1" customFormat="1" ht="15.75" customHeight="1"/>
    <row r="463" s="1" customFormat="1" ht="15.75" customHeight="1"/>
    <row r="464" s="1" customFormat="1" ht="15.75" customHeight="1"/>
    <row r="465" s="1" customFormat="1" ht="15.75" customHeight="1"/>
    <row r="466" s="1" customFormat="1" ht="15.75" customHeight="1"/>
    <row r="467" s="1" customFormat="1" ht="15.75" customHeight="1"/>
    <row r="468" s="1" customFormat="1" ht="15.75" customHeight="1"/>
    <row r="469" s="1" customFormat="1" ht="15.75" customHeight="1"/>
    <row r="470" s="1" customFormat="1" ht="15.75" customHeight="1"/>
    <row r="471" s="1" customFormat="1" ht="15.75" customHeight="1"/>
    <row r="472" s="1" customFormat="1" ht="15.75" customHeight="1"/>
    <row r="473" s="1" customFormat="1" ht="15.75" customHeight="1"/>
    <row r="474" s="1" customFormat="1" ht="15.75" customHeight="1"/>
    <row r="475" s="1" customFormat="1" ht="15.75" customHeight="1"/>
    <row r="476" s="1" customFormat="1" ht="15.75" customHeight="1"/>
    <row r="477" s="1" customFormat="1" ht="15.75" customHeight="1"/>
    <row r="478" s="1" customFormat="1" ht="15.75" customHeight="1"/>
    <row r="479" s="1" customFormat="1" ht="15.75" customHeight="1"/>
    <row r="480" s="1" customFormat="1" ht="15.75" customHeight="1"/>
    <row r="481" s="1" customFormat="1" ht="15.75" customHeight="1"/>
    <row r="482" s="1" customFormat="1" ht="15.75" customHeight="1"/>
    <row r="483" s="1" customFormat="1" ht="15.75" customHeight="1"/>
    <row r="484" s="1" customFormat="1" ht="15.75" customHeight="1"/>
    <row r="485" s="1" customFormat="1" ht="15.75" customHeight="1"/>
    <row r="486" s="1" customFormat="1" ht="15.75" customHeight="1"/>
    <row r="487" s="1" customFormat="1" ht="15.75" customHeight="1"/>
    <row r="488" s="1" customFormat="1" ht="15.75" customHeight="1"/>
    <row r="489" s="1" customFormat="1" ht="15.75" customHeight="1"/>
    <row r="490" s="1" customFormat="1" ht="15.75" customHeight="1"/>
    <row r="491" s="1" customFormat="1" ht="15.75" customHeight="1"/>
    <row r="492" s="1" customFormat="1" ht="15.75" customHeight="1"/>
    <row r="493" s="1" customFormat="1" ht="15.75" customHeight="1"/>
    <row r="494" s="1" customFormat="1" ht="15.75" customHeight="1"/>
    <row r="495" s="1" customFormat="1" ht="15.75" customHeight="1"/>
    <row r="496" s="1" customFormat="1" ht="15.75" customHeight="1"/>
    <row r="497" s="1" customFormat="1" ht="15.75" customHeight="1"/>
    <row r="498" s="1" customFormat="1" ht="15.75" customHeight="1"/>
    <row r="499" s="1" customFormat="1" ht="15.75" customHeight="1"/>
    <row r="500" s="1" customFormat="1" ht="15.75" customHeight="1"/>
    <row r="501" s="1" customFormat="1" ht="15.75" customHeight="1"/>
    <row r="502" s="1" customFormat="1" ht="15.75" customHeight="1"/>
    <row r="503" s="1" customFormat="1" ht="15.75" customHeight="1"/>
    <row r="504" s="1" customFormat="1" ht="15.75" customHeight="1"/>
    <row r="505" s="1" customFormat="1" ht="15.75" customHeight="1"/>
    <row r="506" s="1" customFormat="1" ht="15.75" customHeight="1"/>
    <row r="507" s="1" customFormat="1" ht="15.75" customHeight="1"/>
    <row r="508" s="1" customFormat="1" ht="15.75" customHeight="1"/>
    <row r="509" s="1" customFormat="1" ht="15.75" customHeight="1"/>
    <row r="510" s="1" customFormat="1" ht="15.75" customHeight="1"/>
    <row r="511" s="1" customFormat="1" ht="15.75" customHeight="1"/>
    <row r="512" s="1" customFormat="1" ht="15.75" customHeight="1"/>
    <row r="513" s="1" customFormat="1" ht="15.75" customHeight="1"/>
    <row r="514" s="1" customFormat="1" ht="15.75" customHeight="1"/>
    <row r="515" s="1" customFormat="1" ht="15.75" customHeight="1"/>
    <row r="516" s="1" customFormat="1" ht="15.75" customHeight="1"/>
    <row r="517" s="1" customFormat="1" ht="15.75" customHeight="1"/>
    <row r="518" s="1" customFormat="1" ht="15.75" customHeight="1"/>
    <row r="519" s="1" customFormat="1" ht="15.75" customHeight="1"/>
    <row r="520" s="1" customFormat="1" ht="15.75" customHeight="1"/>
    <row r="521" s="1" customFormat="1" ht="15.75" customHeight="1"/>
    <row r="522" s="1" customFormat="1" ht="15.75" customHeight="1"/>
    <row r="523" s="1" customFormat="1" ht="15.75" customHeight="1"/>
    <row r="524" s="1" customFormat="1" ht="15.75" customHeight="1"/>
    <row r="525" s="1" customFormat="1" ht="15.75" customHeight="1"/>
    <row r="526" s="1" customFormat="1" ht="15.75" customHeight="1"/>
    <row r="527" s="1" customFormat="1" ht="15.75" customHeight="1"/>
    <row r="528" s="1" customFormat="1" ht="15.75" customHeight="1"/>
    <row r="529" s="1" customFormat="1" ht="15.75" customHeight="1"/>
    <row r="530" s="1" customFormat="1" ht="15.75" customHeight="1"/>
    <row r="531" s="1" customFormat="1" ht="15.75" customHeight="1"/>
    <row r="532" s="1" customFormat="1" ht="15.75" customHeight="1"/>
    <row r="533" s="1" customFormat="1" ht="15.75" customHeight="1"/>
    <row r="534" s="1" customFormat="1" ht="15.75" customHeight="1"/>
    <row r="535" s="1" customFormat="1" ht="15.75" customHeight="1"/>
    <row r="536" s="1" customFormat="1" ht="15.75" customHeight="1"/>
    <row r="537" s="1" customFormat="1" ht="15.75" customHeight="1"/>
    <row r="538" s="1" customFormat="1" ht="15.75" customHeight="1"/>
    <row r="539" s="1" customFormat="1" ht="15.75" customHeight="1"/>
    <row r="540" s="1" customFormat="1" ht="15.75" customHeight="1"/>
    <row r="541" s="1" customFormat="1" ht="15.75" customHeight="1"/>
    <row r="542" s="1" customFormat="1" ht="15.75" customHeight="1"/>
    <row r="543" s="1" customFormat="1" ht="15.75" customHeight="1"/>
    <row r="544" s="1" customFormat="1" ht="15.75" customHeight="1"/>
    <row r="545" s="1" customFormat="1" ht="15.75" customHeight="1"/>
    <row r="546" s="1" customFormat="1" ht="15.75" customHeight="1"/>
    <row r="547" s="1" customFormat="1" ht="15.75" customHeight="1"/>
    <row r="548" s="1" customFormat="1" ht="15.75" customHeight="1"/>
    <row r="549" s="1" customFormat="1" ht="15.75" customHeight="1"/>
    <row r="550" s="1" customFormat="1" ht="15.75" customHeight="1"/>
    <row r="551" s="1" customFormat="1" ht="15.75" customHeight="1"/>
    <row r="552" s="1" customFormat="1" ht="15.75" customHeight="1"/>
    <row r="553" s="1" customFormat="1" ht="15.75" customHeight="1"/>
    <row r="554" s="1" customFormat="1" ht="15.75" customHeight="1"/>
    <row r="555" s="1" customFormat="1" ht="15.75" customHeight="1"/>
    <row r="556" s="1" customFormat="1" ht="15.75" customHeight="1"/>
    <row r="557" s="1" customFormat="1" ht="15.75" customHeight="1"/>
    <row r="558" s="1" customFormat="1" ht="15.75" customHeight="1"/>
    <row r="559" s="1" customFormat="1" ht="15.75" customHeight="1"/>
    <row r="560" s="1" customFormat="1" ht="15.75" customHeight="1"/>
    <row r="561" s="1" customFormat="1" ht="15.75" customHeight="1"/>
    <row r="562" s="1" customFormat="1" ht="15.75" customHeight="1"/>
    <row r="563" s="1" customFormat="1" ht="15.75" customHeight="1"/>
    <row r="564" s="1" customFormat="1" ht="15.75" customHeight="1"/>
    <row r="565" s="1" customFormat="1" ht="15.75" customHeight="1"/>
    <row r="566" s="1" customFormat="1" ht="15.75" customHeight="1"/>
    <row r="567" s="1" customFormat="1" ht="15.75" customHeight="1"/>
    <row r="568" s="1" customFormat="1" ht="15.75" customHeight="1"/>
    <row r="569" s="1" customFormat="1" ht="15.75" customHeight="1"/>
    <row r="570" s="1" customFormat="1" ht="15.75" customHeight="1"/>
    <row r="571" s="1" customFormat="1" ht="15.75" customHeight="1"/>
    <row r="572" s="1" customFormat="1" ht="15.75" customHeight="1"/>
    <row r="573" s="1" customFormat="1" ht="15.75" customHeight="1"/>
    <row r="574" s="1" customFormat="1" ht="15.75" customHeight="1"/>
    <row r="575" s="1" customFormat="1" ht="15.75" customHeight="1"/>
    <row r="576" s="1" customFormat="1" ht="15.75" customHeight="1"/>
    <row r="577" s="1" customFormat="1" ht="15.75" customHeight="1"/>
    <row r="578" s="1" customFormat="1" ht="15.75" customHeight="1"/>
    <row r="579" s="1" customFormat="1" ht="15.75" customHeight="1"/>
    <row r="580" s="1" customFormat="1" ht="15.75" customHeight="1"/>
    <row r="581" s="1" customFormat="1" ht="15.75" customHeight="1"/>
    <row r="582" s="1" customFormat="1" ht="15.75" customHeight="1"/>
    <row r="583" s="1" customFormat="1" ht="15.75" customHeight="1"/>
    <row r="584" s="1" customFormat="1" ht="15.75" customHeight="1"/>
    <row r="585" s="1" customFormat="1" ht="15.75" customHeight="1"/>
    <row r="586" s="1" customFormat="1" ht="15.75" customHeight="1"/>
    <row r="587" s="1" customFormat="1" ht="15.75" customHeight="1"/>
    <row r="588" s="1" customFormat="1" ht="15.75" customHeight="1"/>
    <row r="589" s="1" customFormat="1" ht="15.75" customHeight="1"/>
    <row r="590" s="1" customFormat="1" ht="15.75" customHeight="1"/>
    <row r="591" s="1" customFormat="1" ht="15.75" customHeight="1"/>
    <row r="592" s="1" customFormat="1" ht="15.75" customHeight="1"/>
    <row r="593" s="1" customFormat="1" ht="15.75" customHeight="1"/>
    <row r="594" s="1" customFormat="1" ht="15.75" customHeight="1"/>
    <row r="595" s="1" customFormat="1" ht="15.75" customHeight="1"/>
    <row r="596" s="1" customFormat="1" ht="15.75" customHeight="1"/>
    <row r="597" s="1" customFormat="1" ht="15.75" customHeight="1"/>
    <row r="598" s="1" customFormat="1" ht="15.75" customHeight="1"/>
    <row r="599" s="1" customFormat="1" ht="15.75" customHeight="1"/>
    <row r="600" s="1" customFormat="1" ht="15.75" customHeight="1"/>
    <row r="601" s="1" customFormat="1" ht="15.75" customHeight="1"/>
    <row r="602" s="1" customFormat="1" ht="15.75" customHeight="1"/>
    <row r="603" s="1" customFormat="1" ht="15.75" customHeight="1"/>
    <row r="604" s="1" customFormat="1" ht="15.75" customHeight="1"/>
    <row r="605" s="1" customFormat="1" ht="15.75" customHeight="1"/>
    <row r="606" s="1" customFormat="1" ht="15.75" customHeight="1"/>
    <row r="607" s="1" customFormat="1" ht="15.75" customHeight="1"/>
    <row r="608" s="1" customFormat="1" ht="15.75" customHeight="1"/>
    <row r="609" s="1" customFormat="1" ht="15.75" customHeight="1"/>
    <row r="610" s="1" customFormat="1" ht="15.75" customHeight="1"/>
    <row r="611" s="1" customFormat="1" ht="15.75" customHeight="1"/>
    <row r="612" s="1" customFormat="1" ht="15.75" customHeight="1"/>
    <row r="613" s="1" customFormat="1" ht="15.75" customHeight="1"/>
    <row r="614" s="1" customFormat="1" ht="15.75" customHeight="1"/>
    <row r="615" s="1" customFormat="1" ht="15.75" customHeight="1"/>
    <row r="616" s="1" customFormat="1" ht="15.75" customHeight="1"/>
    <row r="617" s="1" customFormat="1" ht="15.75" customHeight="1"/>
    <row r="618" s="1" customFormat="1" ht="15.75" customHeight="1"/>
    <row r="619" s="1" customFormat="1" ht="15.75" customHeight="1"/>
    <row r="620" s="1" customFormat="1" ht="15.75" customHeight="1"/>
    <row r="621" s="1" customFormat="1" ht="15.75" customHeight="1"/>
    <row r="622" s="1" customFormat="1" ht="15.75" customHeight="1"/>
    <row r="623" s="1" customFormat="1" ht="15.75" customHeight="1"/>
    <row r="624" s="1" customFormat="1" ht="15.75" customHeight="1"/>
    <row r="625" s="1" customFormat="1" ht="15.75" customHeight="1"/>
    <row r="626" s="1" customFormat="1" ht="15.75" customHeight="1"/>
    <row r="627" s="1" customFormat="1" ht="15.75" customHeight="1"/>
    <row r="628" s="1" customFormat="1" ht="15.75" customHeight="1"/>
    <row r="629" s="1" customFormat="1" ht="15.75" customHeight="1"/>
    <row r="630" s="1" customFormat="1" ht="15.75" customHeight="1"/>
    <row r="631" s="1" customFormat="1" ht="15.75" customHeight="1"/>
    <row r="632" s="1" customFormat="1" ht="15.75" customHeight="1"/>
    <row r="633" s="1" customFormat="1" ht="15.75" customHeight="1"/>
    <row r="634" s="1" customFormat="1" ht="15.75" customHeight="1"/>
    <row r="635" s="1" customFormat="1" ht="15.75" customHeight="1"/>
    <row r="636" s="1" customFormat="1" ht="15.75" customHeight="1"/>
    <row r="637" s="1" customFormat="1" ht="15.75" customHeight="1"/>
    <row r="638" s="1" customFormat="1" ht="15.75" customHeight="1"/>
    <row r="639" s="1" customFormat="1" ht="15.75" customHeight="1"/>
    <row r="640" s="1" customFormat="1" ht="15.75" customHeight="1"/>
    <row r="641" s="1" customFormat="1" ht="15.75" customHeight="1"/>
    <row r="642" s="1" customFormat="1" ht="15.75" customHeight="1"/>
    <row r="643" s="1" customFormat="1" ht="15.75" customHeight="1"/>
    <row r="644" s="1" customFormat="1" ht="15.75" customHeight="1"/>
    <row r="645" s="1" customFormat="1" ht="15.75" customHeight="1"/>
    <row r="646" s="1" customFormat="1" ht="15.75" customHeight="1"/>
    <row r="647" s="1" customFormat="1" ht="15.75" customHeight="1"/>
    <row r="648" s="1" customFormat="1" ht="15.75" customHeight="1"/>
    <row r="649" s="1" customFormat="1" ht="15.75" customHeight="1"/>
    <row r="650" s="1" customFormat="1" ht="15.75" customHeight="1"/>
    <row r="651" s="1" customFormat="1" ht="15.75" customHeight="1"/>
    <row r="652" s="1" customFormat="1" ht="15.75" customHeight="1"/>
    <row r="653" s="1" customFormat="1" ht="15.75" customHeight="1"/>
    <row r="654" s="1" customFormat="1" ht="15.75" customHeight="1"/>
    <row r="655" s="1" customFormat="1" ht="15.75" customHeight="1"/>
    <row r="656" s="1" customFormat="1" ht="15.75" customHeight="1"/>
    <row r="657" s="1" customFormat="1" ht="15.75" customHeight="1"/>
    <row r="658" s="1" customFormat="1" ht="15.75" customHeight="1"/>
    <row r="659" s="1" customFormat="1" ht="15.75" customHeight="1"/>
    <row r="660" s="1" customFormat="1" ht="15.75" customHeight="1"/>
    <row r="661" s="1" customFormat="1" ht="15.75" customHeight="1"/>
    <row r="662" s="1" customFormat="1" ht="15.75" customHeight="1"/>
    <row r="663" s="1" customFormat="1" ht="15.75" customHeight="1"/>
    <row r="664" s="1" customFormat="1" ht="15.75" customHeight="1"/>
    <row r="665" s="1" customFormat="1" ht="15.75" customHeight="1"/>
    <row r="666" s="1" customFormat="1" ht="15.75" customHeight="1"/>
    <row r="667" s="1" customFormat="1" ht="15.75" customHeight="1"/>
    <row r="668" s="1" customFormat="1" ht="15.75" customHeight="1"/>
    <row r="669" s="1" customFormat="1" ht="15.75" customHeight="1"/>
    <row r="670" s="1" customFormat="1" ht="15.75" customHeight="1"/>
    <row r="671" s="1" customFormat="1" ht="15.75" customHeight="1"/>
    <row r="672" s="1" customFormat="1" ht="15.75" customHeight="1"/>
    <row r="673" s="1" customFormat="1" ht="15.75" customHeight="1"/>
    <row r="674" s="1" customFormat="1" ht="15.75" customHeight="1"/>
    <row r="675" s="1" customFormat="1" ht="15.75" customHeight="1"/>
    <row r="676" s="1" customFormat="1" ht="15.75" customHeight="1"/>
    <row r="677" s="1" customFormat="1" ht="15.75" customHeight="1"/>
    <row r="678" s="1" customFormat="1" ht="15.75" customHeight="1"/>
    <row r="679" s="1" customFormat="1" ht="15.75" customHeight="1"/>
    <row r="680" s="1" customFormat="1" ht="15.75" customHeight="1"/>
    <row r="681" s="1" customFormat="1" ht="15.75" customHeight="1"/>
    <row r="682" s="1" customFormat="1" ht="15.75" customHeight="1"/>
    <row r="683" s="1" customFormat="1" ht="15.75" customHeight="1"/>
    <row r="684" s="1" customFormat="1" ht="15.75" customHeight="1"/>
    <row r="685" s="1" customFormat="1" ht="15.75" customHeight="1"/>
    <row r="686" s="1" customFormat="1" ht="15.75" customHeight="1"/>
    <row r="687" s="1" customFormat="1" ht="15.75" customHeight="1"/>
    <row r="688" s="1" customFormat="1" ht="15.75" customHeight="1"/>
    <row r="689" s="1" customFormat="1" ht="15.75" customHeight="1"/>
    <row r="690" s="1" customFormat="1" ht="15.75" customHeight="1"/>
    <row r="691" s="1" customFormat="1" ht="15.75" customHeight="1"/>
    <row r="692" s="1" customFormat="1" ht="15.75" customHeight="1"/>
    <row r="693" s="1" customFormat="1" ht="15.75" customHeight="1"/>
    <row r="694" s="1" customFormat="1" ht="15.75" customHeight="1"/>
    <row r="695" s="1" customFormat="1" ht="15.75" customHeight="1"/>
    <row r="696" s="1" customFormat="1" ht="15.75" customHeight="1"/>
    <row r="697" s="1" customFormat="1" ht="15.75" customHeight="1"/>
    <row r="698" s="1" customFormat="1" ht="15.75" customHeight="1"/>
    <row r="699" s="1" customFormat="1" ht="15.75" customHeight="1"/>
    <row r="700" s="1" customFormat="1" ht="15.75" customHeight="1"/>
    <row r="701" s="1" customFormat="1" ht="15.75" customHeight="1"/>
    <row r="702" s="1" customFormat="1" ht="15.75" customHeight="1"/>
    <row r="703" s="1" customFormat="1" ht="15.75" customHeight="1"/>
    <row r="704" s="1" customFormat="1" ht="15.75" customHeight="1"/>
    <row r="705" s="1" customFormat="1" ht="15.75" customHeight="1"/>
    <row r="706" s="1" customFormat="1" ht="15.75" customHeight="1"/>
    <row r="707" s="1" customFormat="1" ht="15.75" customHeight="1"/>
    <row r="708" s="1" customFormat="1" ht="15.75" customHeight="1"/>
    <row r="709" s="1" customFormat="1" ht="15.75" customHeight="1"/>
    <row r="710" s="1" customFormat="1" ht="15.75" customHeight="1"/>
    <row r="711" s="1" customFormat="1" ht="15.75" customHeight="1"/>
    <row r="712" s="1" customFormat="1" ht="15.75" customHeight="1"/>
    <row r="713" s="1" customFormat="1" ht="15.75" customHeight="1"/>
    <row r="714" s="1" customFormat="1" ht="15.75" customHeight="1"/>
    <row r="715" s="1" customFormat="1" ht="15.75" customHeight="1"/>
    <row r="716" s="1" customFormat="1" ht="15.75" customHeight="1"/>
    <row r="717" s="1" customFormat="1" ht="15.75" customHeight="1"/>
    <row r="718" s="1" customFormat="1" ht="15.75" customHeight="1"/>
    <row r="719" s="1" customFormat="1" ht="15.75" customHeight="1"/>
    <row r="720" s="1" customFormat="1" ht="15.75" customHeight="1"/>
    <row r="721" s="1" customFormat="1" ht="15.75" customHeight="1"/>
    <row r="722" s="1" customFormat="1" ht="15.75" customHeight="1"/>
    <row r="723" s="1" customFormat="1" ht="15.75" customHeight="1"/>
    <row r="724" s="1" customFormat="1" ht="15.75" customHeight="1"/>
    <row r="725" s="1" customFormat="1" ht="15.75" customHeight="1"/>
    <row r="726" s="1" customFormat="1" ht="15.75" customHeight="1"/>
    <row r="727" s="1" customFormat="1" ht="15.75" customHeight="1"/>
    <row r="728" s="1" customFormat="1" ht="15.75" customHeight="1"/>
    <row r="729" s="1" customFormat="1" ht="15.75" customHeight="1"/>
    <row r="730" s="1" customFormat="1" ht="15.75" customHeight="1"/>
    <row r="731" s="1" customFormat="1" ht="15.75" customHeight="1"/>
    <row r="732" s="1" customFormat="1" ht="15.75" customHeight="1"/>
    <row r="733" s="1" customFormat="1" ht="15.75" customHeight="1"/>
    <row r="734" s="1" customFormat="1" ht="15.75" customHeight="1"/>
    <row r="735" s="1" customFormat="1" ht="15.75" customHeight="1"/>
    <row r="736" s="1" customFormat="1" ht="15.75" customHeight="1"/>
    <row r="737" s="1" customFormat="1" ht="15.75" customHeight="1"/>
    <row r="738" s="1" customFormat="1" ht="15.75" customHeight="1"/>
    <row r="739" s="1" customFormat="1" ht="15.75" customHeight="1"/>
    <row r="740" s="1" customFormat="1" ht="15.75" customHeight="1"/>
    <row r="741" s="1" customFormat="1" ht="15.75" customHeight="1"/>
    <row r="742" s="1" customFormat="1" ht="15.75" customHeight="1"/>
    <row r="743" s="1" customFormat="1" ht="15.75" customHeight="1"/>
    <row r="744" s="1" customFormat="1" ht="15.75" customHeight="1"/>
    <row r="745" s="1" customFormat="1" ht="15.75" customHeight="1"/>
    <row r="746" s="1" customFormat="1" ht="15.75" customHeight="1"/>
    <row r="747" s="1" customFormat="1" ht="15.75" customHeight="1"/>
    <row r="748" s="1" customFormat="1" ht="15.75" customHeight="1"/>
    <row r="749" s="1" customFormat="1" ht="15.75" customHeight="1"/>
    <row r="750" s="1" customFormat="1" ht="15.75" customHeight="1"/>
    <row r="751" s="1" customFormat="1" ht="15.75" customHeight="1"/>
    <row r="752" s="1" customFormat="1" ht="15.75" customHeight="1"/>
    <row r="753" s="1" customFormat="1" ht="15.75" customHeight="1"/>
    <row r="754" s="1" customFormat="1" ht="15.75" customHeight="1"/>
    <row r="755" s="1" customFormat="1" ht="15.75" customHeight="1"/>
    <row r="756" s="1" customFormat="1" ht="15.75" customHeight="1"/>
    <row r="757" s="1" customFormat="1" ht="15.75" customHeight="1"/>
    <row r="758" s="1" customFormat="1" ht="15.75" customHeight="1"/>
    <row r="759" s="1" customFormat="1" ht="15.75" customHeight="1"/>
    <row r="760" s="1" customFormat="1" ht="15.75" customHeight="1"/>
    <row r="761" s="1" customFormat="1" ht="15.75" customHeight="1"/>
    <row r="762" s="1" customFormat="1" ht="15.75" customHeight="1"/>
    <row r="763" s="1" customFormat="1" ht="15.75" customHeight="1"/>
    <row r="764" s="1" customFormat="1" ht="15.75" customHeight="1"/>
    <row r="765" s="1" customFormat="1" ht="15.75" customHeight="1"/>
    <row r="766" s="1" customFormat="1" ht="15.75" customHeight="1"/>
    <row r="767" s="1" customFormat="1" ht="15.75" customHeight="1"/>
    <row r="768" s="1" customFormat="1" ht="15.75" customHeight="1"/>
    <row r="769" s="1" customFormat="1" ht="15.75" customHeight="1"/>
    <row r="770" s="1" customFormat="1" ht="15.75" customHeight="1"/>
    <row r="771" s="1" customFormat="1" ht="15.75" customHeight="1"/>
    <row r="772" s="1" customFormat="1" ht="15.75" customHeight="1"/>
    <row r="773" s="1" customFormat="1" ht="15.75" customHeight="1"/>
    <row r="774" s="1" customFormat="1" ht="15.75" customHeight="1"/>
    <row r="775" s="1" customFormat="1" ht="15.75" customHeight="1"/>
    <row r="776" s="1" customFormat="1" ht="15.75" customHeight="1"/>
    <row r="777" s="1" customFormat="1" ht="15.75" customHeight="1"/>
    <row r="778" s="1" customFormat="1" ht="15.75" customHeight="1"/>
    <row r="779" s="1" customFormat="1" ht="15.75" customHeight="1"/>
    <row r="780" s="1" customFormat="1" ht="15.75" customHeight="1"/>
    <row r="781" s="1" customFormat="1" ht="15.75" customHeight="1"/>
    <row r="782" s="1" customFormat="1" ht="15.75" customHeight="1"/>
    <row r="783" s="1" customFormat="1" ht="15.75" customHeight="1"/>
    <row r="784" s="1" customFormat="1" ht="15.75" customHeight="1"/>
    <row r="785" s="1" customFormat="1" ht="15.75" customHeight="1"/>
    <row r="786" s="1" customFormat="1" ht="15.75" customHeight="1"/>
    <row r="787" s="1" customFormat="1" ht="15.75" customHeight="1"/>
    <row r="788" s="1" customFormat="1" ht="15.75" customHeight="1"/>
    <row r="789" s="1" customFormat="1" ht="15.75" customHeight="1"/>
    <row r="790" s="1" customFormat="1" ht="15.75" customHeight="1"/>
    <row r="791" s="1" customFormat="1" ht="15.75" customHeight="1"/>
    <row r="792" s="1" customFormat="1" ht="15.75" customHeight="1"/>
    <row r="793" s="1" customFormat="1" ht="15.75" customHeight="1"/>
    <row r="794" s="1" customFormat="1" ht="15.75" customHeight="1"/>
    <row r="795" s="1" customFormat="1" ht="15.75" customHeight="1"/>
    <row r="796" s="1" customFormat="1" ht="15.75" customHeight="1"/>
    <row r="797" s="1" customFormat="1" ht="15.75" customHeight="1"/>
    <row r="798" s="1" customFormat="1" ht="15.75" customHeight="1"/>
    <row r="799" s="1" customFormat="1" ht="15.75" customHeight="1"/>
    <row r="800" s="1" customFormat="1" ht="15.75" customHeight="1"/>
    <row r="801" s="1" customFormat="1" ht="15.75" customHeight="1"/>
    <row r="802" s="1" customFormat="1" ht="15.75" customHeight="1"/>
    <row r="803" s="1" customFormat="1" ht="15.75" customHeight="1"/>
    <row r="804" s="1" customFormat="1" ht="15.75" customHeight="1"/>
    <row r="805" s="1" customFormat="1" ht="15.75" customHeight="1"/>
    <row r="806" s="1" customFormat="1" ht="15.75" customHeight="1"/>
    <row r="807" s="1" customFormat="1" ht="15.75" customHeight="1"/>
    <row r="808" s="1" customFormat="1" ht="15.75" customHeight="1"/>
    <row r="809" s="1" customFormat="1" ht="15.75" customHeight="1"/>
    <row r="810" s="1" customFormat="1" ht="15.75" customHeight="1"/>
    <row r="811" s="1" customFormat="1" ht="15.75" customHeight="1"/>
    <row r="812" s="1" customFormat="1" ht="15.75" customHeight="1"/>
    <row r="813" s="1" customFormat="1" ht="15.75" customHeight="1"/>
    <row r="814" s="1" customFormat="1" ht="15.75" customHeight="1"/>
    <row r="815" s="1" customFormat="1" ht="15.75" customHeight="1"/>
    <row r="816" s="1" customFormat="1" ht="15.75" customHeight="1"/>
    <row r="817" s="1" customFormat="1" ht="15.75" customHeight="1"/>
    <row r="818" s="1" customFormat="1" ht="15.75" customHeight="1"/>
    <row r="819" s="1" customFormat="1" ht="15.75" customHeight="1"/>
    <row r="820" s="1" customFormat="1" ht="15.75" customHeight="1"/>
    <row r="821" s="1" customFormat="1" ht="15.75" customHeight="1"/>
    <row r="822" s="1" customFormat="1" ht="15.75" customHeight="1"/>
    <row r="823" s="1" customFormat="1" ht="15.75" customHeight="1"/>
    <row r="824" s="1" customFormat="1" ht="15.75" customHeight="1"/>
    <row r="825" s="1" customFormat="1" ht="15.75" customHeight="1"/>
    <row r="826" s="1" customFormat="1" ht="15.75" customHeight="1"/>
    <row r="827" s="1" customFormat="1" ht="15.75" customHeight="1"/>
    <row r="828" s="1" customFormat="1" ht="15.75" customHeight="1"/>
    <row r="829" s="1" customFormat="1" ht="15.75" customHeight="1"/>
    <row r="830" s="1" customFormat="1" ht="15.75" customHeight="1"/>
    <row r="831" s="1" customFormat="1" ht="15.75" customHeight="1"/>
    <row r="832" s="1" customFormat="1" ht="15.75" customHeight="1"/>
    <row r="833" s="1" customFormat="1" ht="15.75" customHeight="1"/>
    <row r="834" s="1" customFormat="1" ht="15.75" customHeight="1"/>
    <row r="835" s="1" customFormat="1" ht="15.75" customHeight="1"/>
    <row r="836" s="1" customFormat="1" ht="15.75" customHeight="1"/>
    <row r="837" s="1" customFormat="1" ht="15.75" customHeight="1"/>
    <row r="838" s="1" customFormat="1" ht="15.75" customHeight="1"/>
    <row r="839" s="1" customFormat="1" ht="15.75" customHeight="1"/>
    <row r="840" s="1" customFormat="1" ht="15.75" customHeight="1"/>
    <row r="841" s="1" customFormat="1" ht="15.75" customHeight="1"/>
    <row r="842" s="1" customFormat="1" ht="15.75" customHeight="1"/>
    <row r="843" s="1" customFormat="1" ht="15.75" customHeight="1"/>
    <row r="844" s="1" customFormat="1" ht="15.75" customHeight="1"/>
    <row r="845" s="1" customFormat="1" ht="15.75" customHeight="1"/>
    <row r="846" s="1" customFormat="1" ht="15.75" customHeight="1"/>
    <row r="847" s="1" customFormat="1" ht="15.75" customHeight="1"/>
    <row r="848" s="1" customFormat="1" ht="15.75" customHeight="1"/>
    <row r="849" s="1" customFormat="1" ht="15.75" customHeight="1"/>
    <row r="850" s="1" customFormat="1" ht="15.75" customHeight="1"/>
    <row r="851" s="1" customFormat="1" ht="15.75" customHeight="1"/>
    <row r="852" s="1" customFormat="1" ht="15.75" customHeight="1"/>
    <row r="853" s="1" customFormat="1" ht="15.75" customHeight="1"/>
    <row r="854" s="1" customFormat="1" ht="15.75" customHeight="1"/>
    <row r="855" s="1" customFormat="1" ht="15.75" customHeight="1"/>
    <row r="856" s="1" customFormat="1" ht="15.75" customHeight="1"/>
    <row r="857" s="1" customFormat="1" ht="15.75" customHeight="1"/>
    <row r="858" s="1" customFormat="1" ht="15.75" customHeight="1"/>
    <row r="859" s="1" customFormat="1" ht="15.75" customHeight="1"/>
    <row r="860" s="1" customFormat="1" ht="15.75" customHeight="1"/>
    <row r="861" s="1" customFormat="1" ht="15.75" customHeight="1"/>
    <row r="862" s="1" customFormat="1" ht="15.75" customHeight="1"/>
    <row r="863" s="1" customFormat="1" ht="15.75" customHeight="1"/>
    <row r="864" s="1" customFormat="1" ht="15.75" customHeight="1"/>
    <row r="865" s="1" customFormat="1" ht="15.75" customHeight="1"/>
    <row r="866" s="1" customFormat="1" ht="15.75" customHeight="1"/>
    <row r="867" s="1" customFormat="1" ht="15.75" customHeight="1"/>
    <row r="868" s="1" customFormat="1" ht="15.75" customHeight="1"/>
    <row r="869" s="1" customFormat="1" ht="15.75" customHeight="1"/>
    <row r="870" s="1" customFormat="1" ht="15.75" customHeight="1"/>
    <row r="871" s="1" customFormat="1" ht="15.75" customHeight="1"/>
    <row r="872" s="1" customFormat="1" ht="15.75" customHeight="1"/>
    <row r="873" s="1" customFormat="1" ht="15.75" customHeight="1"/>
    <row r="874" s="1" customFormat="1" ht="15.75" customHeight="1"/>
    <row r="875" s="1" customFormat="1" ht="15.75" customHeight="1"/>
    <row r="876" s="1" customFormat="1" ht="15.75" customHeight="1"/>
    <row r="877" s="1" customFormat="1" ht="15.75" customHeight="1"/>
    <row r="878" s="1" customFormat="1" ht="15.75" customHeight="1"/>
    <row r="879" s="1" customFormat="1" ht="15.75" customHeight="1"/>
    <row r="880" s="1" customFormat="1" ht="15.75" customHeight="1"/>
    <row r="881" s="1" customFormat="1" ht="15.75" customHeight="1"/>
    <row r="882" s="1" customFormat="1" ht="15.75" customHeight="1"/>
    <row r="883" s="1" customFormat="1" ht="15.75" customHeight="1"/>
    <row r="884" s="1" customFormat="1" ht="15.75" customHeight="1"/>
    <row r="885" s="1" customFormat="1" ht="15.75" customHeight="1"/>
    <row r="886" s="1" customFormat="1" ht="15.75" customHeight="1"/>
    <row r="887" s="1" customFormat="1" ht="15.75" customHeight="1"/>
    <row r="888" s="1" customFormat="1" ht="15.75" customHeight="1"/>
    <row r="889" s="1" customFormat="1" ht="15.75" customHeight="1"/>
    <row r="890" s="1" customFormat="1" ht="15.75" customHeight="1"/>
    <row r="891" s="1" customFormat="1" ht="15.75" customHeight="1"/>
    <row r="892" s="1" customFormat="1" ht="15.75" customHeight="1"/>
    <row r="893" s="1" customFormat="1" ht="15.75" customHeight="1"/>
    <row r="894" s="1" customFormat="1" ht="15.75" customHeight="1"/>
    <row r="895" s="1" customFormat="1" ht="15.75" customHeight="1"/>
    <row r="896" s="1" customFormat="1" ht="15.75" customHeight="1"/>
    <row r="897" s="1" customFormat="1" ht="15.75" customHeight="1"/>
    <row r="898" s="1" customFormat="1" ht="15.75" customHeight="1"/>
    <row r="899" s="1" customFormat="1" ht="15.75" customHeight="1"/>
    <row r="900" s="1" customFormat="1" ht="15.75" customHeight="1"/>
    <row r="901" s="1" customFormat="1" ht="15.75" customHeight="1"/>
    <row r="902" s="1" customFormat="1" ht="15.75" customHeight="1"/>
    <row r="903" s="1" customFormat="1" ht="15.75" customHeight="1"/>
    <row r="904" s="1" customFormat="1" ht="15.75" customHeight="1"/>
    <row r="905" s="1" customFormat="1" ht="15.75" customHeight="1"/>
    <row r="906" s="1" customFormat="1" ht="15.75" customHeight="1"/>
    <row r="907" s="1" customFormat="1" ht="15.75" customHeight="1"/>
    <row r="908" s="1" customFormat="1" ht="15.75" customHeight="1"/>
    <row r="909" s="1" customFormat="1" ht="15.75" customHeight="1"/>
    <row r="910" s="1" customFormat="1" ht="15.75" customHeight="1"/>
    <row r="911" s="1" customFormat="1" ht="15.75" customHeight="1"/>
    <row r="912" s="1" customFormat="1" ht="15.75" customHeight="1"/>
    <row r="913" s="1" customFormat="1" ht="15.75" customHeight="1"/>
    <row r="914" s="1" customFormat="1" ht="15.75" customHeight="1"/>
    <row r="915" s="1" customFormat="1" ht="15.75" customHeight="1"/>
    <row r="916" s="1" customFormat="1" ht="15.75" customHeight="1"/>
    <row r="917" s="1" customFormat="1" ht="15.75" customHeight="1"/>
    <row r="918" s="1" customFormat="1" ht="15.75" customHeight="1"/>
    <row r="919" s="1" customFormat="1" ht="15.75" customHeight="1"/>
    <row r="920" s="1" customFormat="1" ht="15.75" customHeight="1"/>
    <row r="921" s="1" customFormat="1" ht="15.75" customHeight="1"/>
    <row r="922" s="1" customFormat="1" ht="15.75" customHeight="1"/>
    <row r="923" s="1" customFormat="1" ht="15.75" customHeight="1"/>
    <row r="924" s="1" customFormat="1" ht="15.75" customHeight="1"/>
    <row r="925" s="1" customFormat="1" ht="15.75" customHeight="1"/>
    <row r="926" s="1" customFormat="1" ht="15.75" customHeight="1"/>
    <row r="927" s="1" customFormat="1" ht="15.75" customHeight="1"/>
    <row r="928" s="1" customFormat="1" ht="15.75" customHeight="1"/>
    <row r="929" s="1" customFormat="1" ht="15.75" customHeight="1"/>
    <row r="930" s="1" customFormat="1" ht="15.75" customHeight="1"/>
    <row r="931" s="1" customFormat="1" ht="15.75" customHeight="1"/>
    <row r="932" s="1" customFormat="1" ht="15.75" customHeight="1"/>
    <row r="933" s="1" customFormat="1" ht="15.75" customHeight="1"/>
    <row r="934" s="1" customFormat="1" ht="15.75" customHeight="1"/>
    <row r="935" s="1" customFormat="1" ht="15.75" customHeight="1"/>
    <row r="936" s="1" customFormat="1" ht="15.75" customHeight="1"/>
    <row r="937" s="1" customFormat="1" ht="15.75" customHeight="1"/>
    <row r="938" s="1" customFormat="1" ht="15.75" customHeight="1"/>
    <row r="939" s="1" customFormat="1" ht="15.75" customHeight="1"/>
    <row r="940" s="1" customFormat="1" ht="15.75" customHeight="1"/>
    <row r="941" s="1" customFormat="1" ht="15.75" customHeight="1"/>
    <row r="942" s="1" customFormat="1" ht="15.75" customHeight="1"/>
    <row r="943" s="1" customFormat="1" ht="15.75" customHeight="1"/>
    <row r="944" s="1" customFormat="1" ht="15.75" customHeight="1"/>
    <row r="945" s="1" customFormat="1" ht="15.75" customHeight="1"/>
    <row r="946" s="1" customFormat="1" ht="15.75" customHeight="1"/>
    <row r="947" s="1" customFormat="1" ht="15.75" customHeight="1"/>
    <row r="948" s="1" customFormat="1" ht="15.75" customHeight="1"/>
    <row r="949" s="1" customFormat="1" ht="15.75" customHeight="1"/>
    <row r="950" s="1" customFormat="1" ht="15.75" customHeight="1"/>
    <row r="951" s="1" customFormat="1" ht="15.75" customHeight="1"/>
    <row r="952" s="1" customFormat="1" ht="15.75" customHeight="1"/>
    <row r="953" s="1" customFormat="1" ht="15.75" customHeight="1"/>
    <row r="954" s="1" customFormat="1" ht="15.75" customHeight="1"/>
    <row r="955" s="1" customFormat="1" ht="15.75" customHeight="1"/>
    <row r="956" s="1" customFormat="1" ht="15.75" customHeight="1"/>
    <row r="957" s="1" customFormat="1" ht="15.75" customHeight="1"/>
    <row r="958" s="1" customFormat="1" ht="15.75" customHeight="1"/>
    <row r="959" s="1" customFormat="1" ht="15.75" customHeight="1"/>
    <row r="960" s="1" customFormat="1" ht="15.75" customHeight="1"/>
    <row r="961" s="1" customFormat="1" ht="15.75" customHeight="1"/>
    <row r="962" s="1" customFormat="1" ht="15.75" customHeight="1"/>
    <row r="963" s="1" customFormat="1" ht="15.75" customHeight="1"/>
    <row r="964" s="1" customFormat="1" ht="15.75" customHeight="1"/>
    <row r="965" s="1" customFormat="1" ht="15.75" customHeight="1"/>
    <row r="966" s="1" customFormat="1" ht="15.75" customHeight="1"/>
    <row r="967" s="1" customFormat="1" ht="15.75" customHeight="1"/>
    <row r="968" s="1" customFormat="1" ht="15.75" customHeight="1"/>
    <row r="969" s="1" customFormat="1" ht="15.75" customHeight="1"/>
    <row r="970" s="1" customFormat="1" ht="15.75" customHeight="1"/>
    <row r="971" s="1" customFormat="1" ht="15.75" customHeight="1"/>
    <row r="972" s="1" customFormat="1" ht="15.75" customHeight="1"/>
    <row r="973" s="1" customFormat="1" ht="15.75" customHeight="1"/>
    <row r="974" s="1" customFormat="1" ht="15.75" customHeight="1"/>
    <row r="975" s="1" customFormat="1" ht="15.75" customHeight="1"/>
    <row r="976" s="1" customFormat="1" ht="15.75" customHeight="1"/>
    <row r="977" s="1" customFormat="1" ht="15.75" customHeight="1"/>
    <row r="978" s="1" customFormat="1" ht="15.75" customHeight="1"/>
    <row r="979" s="1" customFormat="1" ht="15.75" customHeight="1"/>
    <row r="980" s="1" customFormat="1" ht="15.75" customHeight="1"/>
    <row r="981" s="1" customFormat="1" ht="15.75" customHeight="1"/>
    <row r="982" s="1" customFormat="1" ht="15.75" customHeight="1"/>
    <row r="983" s="1" customFormat="1" ht="15.75" customHeight="1"/>
    <row r="984" s="1" customFormat="1" ht="15.75" customHeight="1"/>
    <row r="985" s="1" customFormat="1" ht="15.75" customHeight="1"/>
    <row r="986" s="1" customFormat="1" ht="15.75" customHeight="1"/>
    <row r="987" s="1" customFormat="1" ht="15.75" customHeight="1"/>
    <row r="988" s="1" customFormat="1" ht="15.75" customHeight="1"/>
    <row r="989" s="1" customFormat="1" ht="15.75" customHeight="1"/>
    <row r="990" s="1" customFormat="1" ht="15.75" customHeight="1"/>
    <row r="991" s="1" customFormat="1" ht="15.75" customHeight="1"/>
    <row r="992" s="1" customFormat="1" ht="15.75" customHeight="1"/>
    <row r="993" s="1" customFormat="1" ht="15.75" customHeight="1"/>
    <row r="994" s="1" customFormat="1" ht="15.75" customHeight="1"/>
    <row r="995" s="1" customFormat="1" ht="15.75" customHeight="1"/>
    <row r="996" s="1" customFormat="1" ht="15.75" customHeight="1"/>
    <row r="997" s="1" customFormat="1" ht="15.75" customHeight="1"/>
    <row r="998" s="1" customFormat="1" ht="15.75" customHeight="1"/>
    <row r="999" s="1" customFormat="1" ht="15.75" customHeight="1"/>
    <row r="1000" s="1" customFormat="1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 Grade &amp; Status</vt:lpstr>
      <vt:lpstr>Conditional Calculation</vt:lpstr>
      <vt:lpstr>Customer Benefit Eligibility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SISIBOOK</dc:creator>
  <cp:lastModifiedBy>Bayu Ali</cp:lastModifiedBy>
  <dcterms:created xsi:type="dcterms:W3CDTF">2026-09-15T16:25:00Z</dcterms:created>
  <dcterms:modified xsi:type="dcterms:W3CDTF">2026-09-16T06:07:20Z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8AC26625100143D1AEA1760423EF4502_11</vt:lpwstr>
  </property>
  <property fmtid="{D5CDD505-2E9C-101B-9397-08002B2CF9AE}" pid="3" name="KSOProductBuildVer">
    <vt:lpwstr>2057-12.2.0.23206</vt:lpwstr>
  </property>
</Properties>
</file>